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MH\Desktop\Carbon emission of bridge Project 2.0\Supplementry\"/>
    </mc:Choice>
  </mc:AlternateContent>
  <xr:revisionPtr revIDLastSave="0" documentId="13_ncr:1_{9BB2A02A-0A38-4610-A2AF-D2D3026A81C5}" xr6:coauthVersionLast="47" xr6:coauthVersionMax="47" xr10:uidLastSave="{00000000-0000-0000-0000-000000000000}"/>
  <bookViews>
    <workbookView xWindow="1125" yWindow="1125" windowWidth="21600" windowHeight="11295" xr2:uid="{D4F9B90F-2288-4632-B8B4-B2524DB824E7}"/>
  </bookViews>
  <sheets>
    <sheet name="Enginnering Sheet" sheetId="1" r:id="rId1"/>
  </sheets>
  <externalReferences>
    <externalReference r:id="rId2"/>
  </externalReferences>
  <definedNames>
    <definedName name="\B" localSheetId="0">#REF!</definedName>
    <definedName name="\B">#REF!</definedName>
    <definedName name="\X">#REF!</definedName>
    <definedName name="\z">#REF!</definedName>
    <definedName name="_________C">#REF!</definedName>
    <definedName name="________C">#REF!</definedName>
    <definedName name="_______C">#REF!</definedName>
    <definedName name="______C">#REF!</definedName>
    <definedName name="_____C">#REF!</definedName>
    <definedName name="____C">#REF!</definedName>
    <definedName name="___C">#REF!</definedName>
    <definedName name="__C">#REF!</definedName>
    <definedName name="_C">#REF!</definedName>
    <definedName name="_Fill" hidden="1">#REF!</definedName>
    <definedName name="_Key1" hidden="1">#REF!</definedName>
    <definedName name="_Order1" hidden="1">255</definedName>
    <definedName name="_Sort" hidden="1">#REF!</definedName>
    <definedName name="A">#REF!</definedName>
    <definedName name="asdfg">#REF!</definedName>
    <definedName name="B">#REF!</definedName>
    <definedName name="cem">#REF!</definedName>
    <definedName name="cs">#REF!</definedName>
    <definedName name="D">#REF!</definedName>
    <definedName name="dfgg">#REF!</definedName>
    <definedName name="fds">#REF!</definedName>
    <definedName name="gg">#REF!</definedName>
    <definedName name="lpsan">#REF!</definedName>
    <definedName name="mak">#REF!</definedName>
    <definedName name="oh">#REF!</definedName>
    <definedName name="_xlnm.Print_Area" localSheetId="0">'Enginnering Sheet'!$A$1:$BL$59</definedName>
    <definedName name="_xlnm.Print_Area">#REF!</definedName>
    <definedName name="PRINT_AREA_MI" localSheetId="0">#REF!</definedName>
    <definedName name="PRINT_AREA_MI">#REF!</definedName>
    <definedName name="_xlnm.Print_Titles" localSheetId="0">'Enginnering Sheet'!$1:$5</definedName>
    <definedName name="_xlnm.Print_Titles">#N/A</definedName>
    <definedName name="san">#REF!</definedName>
    <definedName name="sbl">#REF!</definedName>
    <definedName name="scol">#REF!</definedName>
    <definedName name="sff">#REF!</definedName>
    <definedName name="shbl">#REF!</definedName>
    <definedName name="shcol">#REF!</definedName>
    <definedName name="shf">#REF!</definedName>
    <definedName name="shsb">#REF!</definedName>
    <definedName name="sof">#REF!</definedName>
    <definedName name="T" localSheetId="0">#REF!</definedName>
    <definedName name="T">#REF!</definedName>
    <definedName name="TEMP" localSheetId="0">#REF!</definedName>
    <definedName name="TEMP">#REF!</definedName>
    <definedName name="tr">#REF!</definedName>
    <definedName name="tt" hidden="1">#REF!</definedName>
    <definedName name="ttt" hidden="1">#REF!</definedName>
    <definedName name="tttt" hidden="1">#REF!</definedName>
    <definedName name="ttttt">#REF!</definedName>
    <definedName name="w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M106" i="1" l="1"/>
  <c r="BH63" i="1"/>
  <c r="BU61" i="1"/>
  <c r="BT61" i="1"/>
  <c r="BS61" i="1"/>
  <c r="BR61" i="1"/>
  <c r="BQ61" i="1"/>
  <c r="BP61" i="1"/>
  <c r="BO61" i="1"/>
  <c r="BN61" i="1"/>
  <c r="BL61" i="1" s="1"/>
  <c r="BU55" i="1"/>
  <c r="BT55" i="1"/>
  <c r="BS55" i="1"/>
  <c r="BR55" i="1"/>
  <c r="BP55" i="1"/>
  <c r="BO55" i="1"/>
  <c r="BL55" i="1"/>
  <c r="BU54" i="1"/>
  <c r="BT54" i="1"/>
  <c r="BS54" i="1"/>
  <c r="BR54" i="1"/>
  <c r="BQ54" i="1"/>
  <c r="BP54" i="1"/>
  <c r="BO54" i="1"/>
  <c r="BN54" i="1"/>
  <c r="BL54" i="1"/>
  <c r="BJ54" i="1"/>
  <c r="BU53" i="1"/>
  <c r="BT53" i="1"/>
  <c r="BS53" i="1"/>
  <c r="BR53" i="1"/>
  <c r="BQ53" i="1"/>
  <c r="BP53" i="1"/>
  <c r="BO53" i="1"/>
  <c r="BN53" i="1"/>
  <c r="BJ53" i="1"/>
  <c r="BL53" i="1" s="1"/>
  <c r="BL52" i="1"/>
  <c r="BJ52" i="1"/>
  <c r="BL51" i="1"/>
  <c r="BJ51" i="1"/>
  <c r="BU50" i="1"/>
  <c r="BT50" i="1"/>
  <c r="BS50" i="1"/>
  <c r="BR50" i="1"/>
  <c r="BQ50" i="1"/>
  <c r="BP50" i="1"/>
  <c r="BO50" i="1"/>
  <c r="BN50" i="1"/>
  <c r="BL50" i="1"/>
  <c r="BJ50" i="1"/>
  <c r="BU49" i="1"/>
  <c r="BT49" i="1"/>
  <c r="BS49" i="1"/>
  <c r="BR49" i="1"/>
  <c r="BQ49" i="1"/>
  <c r="BP49" i="1"/>
  <c r="BO49" i="1"/>
  <c r="BN49" i="1"/>
  <c r="BJ49" i="1"/>
  <c r="BL49" i="1" s="1"/>
  <c r="BL48" i="1"/>
  <c r="BJ48" i="1"/>
  <c r="BU47" i="1"/>
  <c r="BT47" i="1"/>
  <c r="BS47" i="1"/>
  <c r="BR47" i="1"/>
  <c r="BQ47" i="1"/>
  <c r="BP47" i="1"/>
  <c r="BO47" i="1"/>
  <c r="BN47" i="1"/>
  <c r="BL47" i="1"/>
  <c r="BJ47" i="1"/>
  <c r="BU46" i="1"/>
  <c r="BT46" i="1"/>
  <c r="BS46" i="1"/>
  <c r="BR46" i="1"/>
  <c r="BQ46" i="1"/>
  <c r="BP46" i="1"/>
  <c r="BO46" i="1"/>
  <c r="BN46" i="1"/>
  <c r="BL46" i="1"/>
  <c r="BJ46" i="1"/>
  <c r="BU45" i="1"/>
  <c r="BS45" i="1"/>
  <c r="BR45" i="1"/>
  <c r="BQ45" i="1"/>
  <c r="BP45" i="1"/>
  <c r="BC45" i="1"/>
  <c r="BB45" i="1"/>
  <c r="BA45" i="1"/>
  <c r="AZ45" i="1"/>
  <c r="AY45" i="1"/>
  <c r="AX45" i="1"/>
  <c r="AW45" i="1"/>
  <c r="AV45" i="1"/>
  <c r="AU45" i="1"/>
  <c r="AT45" i="1"/>
  <c r="AS45" i="1"/>
  <c r="AR45" i="1"/>
  <c r="AQ45" i="1"/>
  <c r="AP45" i="1"/>
  <c r="AO45" i="1"/>
  <c r="AN45" i="1"/>
  <c r="AM45" i="1"/>
  <c r="AL45" i="1"/>
  <c r="AK45" i="1"/>
  <c r="AJ45" i="1"/>
  <c r="AI45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BJ45" i="1" s="1"/>
  <c r="BL45" i="1" s="1"/>
  <c r="F45" i="1"/>
  <c r="E45" i="1"/>
  <c r="BN45" i="1" s="1"/>
  <c r="D45" i="1"/>
  <c r="BU44" i="1"/>
  <c r="BT44" i="1"/>
  <c r="BS44" i="1"/>
  <c r="BR44" i="1"/>
  <c r="BQ44" i="1"/>
  <c r="BP44" i="1"/>
  <c r="BO44" i="1"/>
  <c r="BN44" i="1"/>
  <c r="BJ44" i="1"/>
  <c r="BL44" i="1" s="1"/>
  <c r="BU43" i="1"/>
  <c r="BT43" i="1"/>
  <c r="BS43" i="1"/>
  <c r="BR43" i="1"/>
  <c r="BQ43" i="1"/>
  <c r="BP43" i="1"/>
  <c r="BO43" i="1"/>
  <c r="BN43" i="1"/>
  <c r="BJ43" i="1"/>
  <c r="BL43" i="1" s="1"/>
  <c r="BL42" i="1"/>
  <c r="BJ42" i="1"/>
  <c r="BU41" i="1"/>
  <c r="BT41" i="1"/>
  <c r="BS41" i="1"/>
  <c r="BR41" i="1"/>
  <c r="BQ41" i="1"/>
  <c r="BP41" i="1"/>
  <c r="BO41" i="1"/>
  <c r="BN41" i="1"/>
  <c r="BL41" i="1"/>
  <c r="BJ41" i="1"/>
  <c r="BU40" i="1"/>
  <c r="BT40" i="1"/>
  <c r="BS40" i="1"/>
  <c r="BR40" i="1"/>
  <c r="BQ40" i="1"/>
  <c r="BP40" i="1"/>
  <c r="BO40" i="1"/>
  <c r="BN40" i="1"/>
  <c r="BJ40" i="1"/>
  <c r="BL40" i="1" s="1"/>
  <c r="BU39" i="1"/>
  <c r="BT39" i="1"/>
  <c r="BS39" i="1"/>
  <c r="BR39" i="1"/>
  <c r="BQ39" i="1"/>
  <c r="BP39" i="1"/>
  <c r="BO39" i="1"/>
  <c r="BN39" i="1"/>
  <c r="BJ39" i="1"/>
  <c r="BL39" i="1" s="1"/>
  <c r="BU38" i="1"/>
  <c r="BT38" i="1"/>
  <c r="BS38" i="1"/>
  <c r="BR38" i="1"/>
  <c r="BQ38" i="1"/>
  <c r="BP38" i="1"/>
  <c r="BO38" i="1"/>
  <c r="BN38" i="1"/>
  <c r="BL38" i="1"/>
  <c r="BJ38" i="1"/>
  <c r="BU37" i="1"/>
  <c r="BT37" i="1"/>
  <c r="BS37" i="1"/>
  <c r="BR37" i="1"/>
  <c r="BQ37" i="1"/>
  <c r="BP37" i="1"/>
  <c r="BO37" i="1"/>
  <c r="BN37" i="1"/>
  <c r="BL37" i="1"/>
  <c r="BJ37" i="1"/>
  <c r="BU36" i="1"/>
  <c r="BT36" i="1"/>
  <c r="BS36" i="1"/>
  <c r="BR36" i="1"/>
  <c r="BQ36" i="1"/>
  <c r="BP36" i="1"/>
  <c r="BO36" i="1"/>
  <c r="BN36" i="1"/>
  <c r="BL36" i="1"/>
  <c r="BJ36" i="1"/>
  <c r="BU35" i="1"/>
  <c r="BT35" i="1"/>
  <c r="BS35" i="1"/>
  <c r="BR35" i="1"/>
  <c r="BQ35" i="1"/>
  <c r="BP35" i="1"/>
  <c r="BO35" i="1"/>
  <c r="BN35" i="1"/>
  <c r="BJ35" i="1"/>
  <c r="BL35" i="1" s="1"/>
  <c r="BU34" i="1"/>
  <c r="BT34" i="1"/>
  <c r="BS34" i="1"/>
  <c r="BR34" i="1"/>
  <c r="BQ34" i="1"/>
  <c r="BP34" i="1"/>
  <c r="BO34" i="1"/>
  <c r="BN34" i="1"/>
  <c r="BL34" i="1"/>
  <c r="BJ34" i="1"/>
  <c r="BU33" i="1"/>
  <c r="BT33" i="1"/>
  <c r="BS33" i="1"/>
  <c r="BR33" i="1"/>
  <c r="BQ33" i="1"/>
  <c r="BP33" i="1"/>
  <c r="BO33" i="1"/>
  <c r="BN33" i="1"/>
  <c r="BL33" i="1"/>
  <c r="BJ33" i="1"/>
  <c r="BU32" i="1"/>
  <c r="BT32" i="1"/>
  <c r="BS32" i="1"/>
  <c r="BR32" i="1"/>
  <c r="BQ32" i="1"/>
  <c r="BP32" i="1"/>
  <c r="BO32" i="1"/>
  <c r="BN32" i="1"/>
  <c r="BJ32" i="1"/>
  <c r="BL32" i="1" s="1"/>
  <c r="BU31" i="1"/>
  <c r="BT31" i="1"/>
  <c r="BS31" i="1"/>
  <c r="BR31" i="1"/>
  <c r="BQ31" i="1"/>
  <c r="BP31" i="1"/>
  <c r="BO31" i="1"/>
  <c r="BN31" i="1"/>
  <c r="BJ31" i="1"/>
  <c r="BL31" i="1" s="1"/>
  <c r="BU30" i="1"/>
  <c r="BT30" i="1"/>
  <c r="BS30" i="1"/>
  <c r="BR30" i="1"/>
  <c r="BQ30" i="1"/>
  <c r="BP30" i="1"/>
  <c r="BO30" i="1"/>
  <c r="BN30" i="1"/>
  <c r="BL30" i="1"/>
  <c r="BJ30" i="1"/>
  <c r="BU29" i="1"/>
  <c r="BT29" i="1"/>
  <c r="BS29" i="1"/>
  <c r="BR29" i="1"/>
  <c r="BQ29" i="1"/>
  <c r="BP29" i="1"/>
  <c r="BO29" i="1"/>
  <c r="BN29" i="1"/>
  <c r="BL29" i="1"/>
  <c r="BJ29" i="1"/>
  <c r="BU28" i="1"/>
  <c r="BT28" i="1"/>
  <c r="BS28" i="1"/>
  <c r="BR28" i="1"/>
  <c r="BQ28" i="1"/>
  <c r="BP28" i="1"/>
  <c r="BO28" i="1"/>
  <c r="BN28" i="1"/>
  <c r="BL28" i="1"/>
  <c r="BJ28" i="1"/>
  <c r="BU27" i="1"/>
  <c r="BT27" i="1"/>
  <c r="BS27" i="1"/>
  <c r="BR27" i="1"/>
  <c r="BQ27" i="1"/>
  <c r="BP27" i="1"/>
  <c r="BO27" i="1"/>
  <c r="BN27" i="1"/>
  <c r="BJ27" i="1"/>
  <c r="BL27" i="1" s="1"/>
  <c r="BU26" i="1"/>
  <c r="BT26" i="1"/>
  <c r="BS26" i="1"/>
  <c r="BR26" i="1"/>
  <c r="BQ26" i="1"/>
  <c r="BP26" i="1"/>
  <c r="BO26" i="1"/>
  <c r="BN26" i="1"/>
  <c r="BL26" i="1"/>
  <c r="BJ26" i="1"/>
  <c r="BU25" i="1"/>
  <c r="BT25" i="1"/>
  <c r="BS25" i="1"/>
  <c r="BR25" i="1"/>
  <c r="BQ25" i="1"/>
  <c r="BP25" i="1"/>
  <c r="BO25" i="1"/>
  <c r="BN25" i="1"/>
  <c r="BL25" i="1"/>
  <c r="BJ25" i="1"/>
  <c r="BU24" i="1"/>
  <c r="BT24" i="1"/>
  <c r="BS24" i="1"/>
  <c r="BR24" i="1"/>
  <c r="BQ24" i="1"/>
  <c r="BP24" i="1"/>
  <c r="BO24" i="1"/>
  <c r="BN24" i="1"/>
  <c r="BJ24" i="1"/>
  <c r="BL24" i="1" s="1"/>
  <c r="BU23" i="1"/>
  <c r="BT23" i="1"/>
  <c r="BS23" i="1"/>
  <c r="BR23" i="1"/>
  <c r="BQ23" i="1"/>
  <c r="BP23" i="1"/>
  <c r="BO23" i="1"/>
  <c r="BN23" i="1"/>
  <c r="BJ23" i="1"/>
  <c r="BL23" i="1" s="1"/>
  <c r="BJ22" i="1"/>
  <c r="BL22" i="1" s="1"/>
  <c r="BU21" i="1"/>
  <c r="BT21" i="1"/>
  <c r="BS21" i="1"/>
  <c r="BR21" i="1"/>
  <c r="BQ21" i="1"/>
  <c r="BP21" i="1"/>
  <c r="BO21" i="1"/>
  <c r="BN21" i="1"/>
  <c r="BL21" i="1"/>
  <c r="BJ21" i="1"/>
  <c r="BL20" i="1"/>
  <c r="BJ20" i="1"/>
  <c r="BJ19" i="1"/>
  <c r="BL19" i="1" s="1"/>
  <c r="BU18" i="1"/>
  <c r="BT18" i="1"/>
  <c r="BS18" i="1"/>
  <c r="BR18" i="1"/>
  <c r="BQ18" i="1"/>
  <c r="BP18" i="1"/>
  <c r="BO18" i="1"/>
  <c r="BN18" i="1"/>
  <c r="BL18" i="1"/>
  <c r="BJ18" i="1"/>
  <c r="BU17" i="1"/>
  <c r="BT17" i="1"/>
  <c r="BS17" i="1"/>
  <c r="BR17" i="1"/>
  <c r="BQ17" i="1"/>
  <c r="BP17" i="1"/>
  <c r="BO17" i="1"/>
  <c r="BN17" i="1"/>
  <c r="BL17" i="1"/>
  <c r="BJ17" i="1"/>
  <c r="BU16" i="1"/>
  <c r="BT16" i="1"/>
  <c r="BS16" i="1"/>
  <c r="BR16" i="1"/>
  <c r="BQ16" i="1"/>
  <c r="BP16" i="1"/>
  <c r="BO16" i="1"/>
  <c r="BN16" i="1"/>
  <c r="BU15" i="1"/>
  <c r="BT15" i="1"/>
  <c r="BS15" i="1"/>
  <c r="BR15" i="1"/>
  <c r="BQ15" i="1"/>
  <c r="BP15" i="1"/>
  <c r="BO15" i="1"/>
  <c r="BN15" i="1"/>
  <c r="BJ15" i="1"/>
  <c r="BL15" i="1" s="1"/>
  <c r="BJ14" i="1"/>
  <c r="BL14" i="1" s="1"/>
  <c r="BL13" i="1"/>
  <c r="BJ13" i="1"/>
  <c r="BU12" i="1"/>
  <c r="BT12" i="1"/>
  <c r="BS12" i="1"/>
  <c r="BR12" i="1"/>
  <c r="BQ12" i="1"/>
  <c r="BP12" i="1"/>
  <c r="BO12" i="1"/>
  <c r="BN12" i="1"/>
  <c r="BL12" i="1"/>
  <c r="BJ12" i="1"/>
  <c r="BU11" i="1"/>
  <c r="BT11" i="1"/>
  <c r="BS11" i="1"/>
  <c r="BR11" i="1"/>
  <c r="BQ11" i="1"/>
  <c r="BP11" i="1"/>
  <c r="BO11" i="1"/>
  <c r="BN11" i="1"/>
  <c r="BL11" i="1"/>
  <c r="BJ11" i="1"/>
  <c r="BU10" i="1"/>
  <c r="BT10" i="1"/>
  <c r="BS10" i="1"/>
  <c r="BR10" i="1"/>
  <c r="BQ10" i="1"/>
  <c r="BP10" i="1"/>
  <c r="BO10" i="1"/>
  <c r="BN10" i="1"/>
  <c r="BU9" i="1"/>
  <c r="BT9" i="1"/>
  <c r="BS9" i="1"/>
  <c r="BR9" i="1"/>
  <c r="BQ9" i="1"/>
  <c r="BP9" i="1"/>
  <c r="BO9" i="1"/>
  <c r="BN9" i="1"/>
  <c r="BU8" i="1"/>
  <c r="BT8" i="1"/>
  <c r="BS8" i="1"/>
  <c r="BR8" i="1"/>
  <c r="BQ8" i="1"/>
  <c r="BP8" i="1"/>
  <c r="BO8" i="1"/>
  <c r="BN8" i="1"/>
  <c r="BJ8" i="1"/>
  <c r="BL8" i="1" s="1"/>
  <c r="BU7" i="1"/>
  <c r="BT7" i="1"/>
  <c r="BS7" i="1"/>
  <c r="BR7" i="1"/>
  <c r="BQ7" i="1"/>
  <c r="BP7" i="1"/>
  <c r="BO7" i="1"/>
  <c r="BN7" i="1"/>
  <c r="BJ7" i="1"/>
  <c r="BL7" i="1" s="1"/>
  <c r="BU6" i="1"/>
  <c r="BU59" i="1" s="1"/>
  <c r="BU62" i="1" s="1"/>
  <c r="BT6" i="1"/>
  <c r="BS6" i="1"/>
  <c r="BS59" i="1" s="1"/>
  <c r="BS62" i="1" s="1"/>
  <c r="BR6" i="1"/>
  <c r="BR59" i="1" s="1"/>
  <c r="BR62" i="1" s="1"/>
  <c r="BQ6" i="1"/>
  <c r="BQ59" i="1" s="1"/>
  <c r="BQ62" i="1" s="1"/>
  <c r="BP6" i="1"/>
  <c r="BP59" i="1" s="1"/>
  <c r="BP62" i="1" s="1"/>
  <c r="BO6" i="1"/>
  <c r="BN6" i="1"/>
  <c r="BN59" i="1" s="1"/>
  <c r="BN62" i="1" s="1"/>
  <c r="BL6" i="1"/>
  <c r="BJ6" i="1"/>
  <c r="BU5" i="1"/>
  <c r="BT5" i="1"/>
  <c r="BS5" i="1"/>
  <c r="BR5" i="1"/>
  <c r="BQ5" i="1"/>
  <c r="BP5" i="1"/>
  <c r="BO5" i="1"/>
  <c r="BN5" i="1"/>
  <c r="BL59" i="1" l="1"/>
  <c r="BO45" i="1"/>
  <c r="BO59" i="1" s="1"/>
  <c r="BO62" i="1" s="1"/>
  <c r="BT45" i="1"/>
  <c r="BT59" i="1" s="1"/>
  <c r="BT62" i="1" s="1"/>
  <c r="BH64" i="1" l="1"/>
  <c r="BH66" i="1" s="1"/>
  <c r="BH67" i="1" s="1"/>
  <c r="BL6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yasir ali</author>
  </authors>
  <commentList>
    <comment ref="B45" authorId="0" shapeId="0" xr:uid="{962FEEB2-9EE6-47B6-A3E4-2C954B657A05}">
      <text>
        <r>
          <rPr>
            <b/>
            <sz val="9"/>
            <color indexed="81"/>
            <rFont val="Tahoma"/>
            <family val="2"/>
          </rPr>
          <t>yasir ali:</t>
        </r>
        <r>
          <rPr>
            <sz val="9"/>
            <color indexed="81"/>
            <rFont val="Tahoma"/>
            <family val="2"/>
          </rPr>
          <t xml:space="preserve">
working piles</t>
        </r>
      </text>
    </comment>
  </commentList>
</comments>
</file>

<file path=xl/sharedStrings.xml><?xml version="1.0" encoding="utf-8"?>
<sst xmlns="http://schemas.openxmlformats.org/spreadsheetml/2006/main" count="263" uniqueCount="214">
  <si>
    <r>
      <t xml:space="preserve">ENGINEER'S </t>
    </r>
    <r>
      <rPr>
        <sz val="12"/>
        <rFont val="Times New Roman"/>
        <family val="1"/>
      </rPr>
      <t xml:space="preserve"> SHEET</t>
    </r>
  </si>
  <si>
    <t>BILL NO. 4F: STRUCTURES (BRIDGES &amp; FLYOVERS)</t>
  </si>
  <si>
    <t>BR-01</t>
  </si>
  <si>
    <t>BR-02</t>
  </si>
  <si>
    <t>BR-03</t>
  </si>
  <si>
    <t>BR-04</t>
  </si>
  <si>
    <t>BR-05</t>
  </si>
  <si>
    <t>BR-06</t>
  </si>
  <si>
    <t>BR-07</t>
  </si>
  <si>
    <t>BR-08</t>
  </si>
  <si>
    <t>BR-09</t>
  </si>
  <si>
    <t>BR-10</t>
  </si>
  <si>
    <t>BR-11</t>
  </si>
  <si>
    <t>BR-12</t>
  </si>
  <si>
    <t>BR-13</t>
  </si>
  <si>
    <t>BR-14</t>
  </si>
  <si>
    <t>BR-15</t>
  </si>
  <si>
    <t>BR-16</t>
  </si>
  <si>
    <t>BR-17</t>
  </si>
  <si>
    <t>BR-18</t>
  </si>
  <si>
    <t>BR-19</t>
  </si>
  <si>
    <t>BR-20</t>
  </si>
  <si>
    <t>BR-21</t>
  </si>
  <si>
    <t>BR-22</t>
  </si>
  <si>
    <t>BR-23</t>
  </si>
  <si>
    <t>BR-24</t>
  </si>
  <si>
    <t>BR-25</t>
  </si>
  <si>
    <t>BR-26</t>
  </si>
  <si>
    <t>FLY-01</t>
  </si>
  <si>
    <t>FLY-02</t>
  </si>
  <si>
    <t>FLY-03</t>
  </si>
  <si>
    <t>FLY-04</t>
  </si>
  <si>
    <t>FLY-05</t>
  </si>
  <si>
    <t>FLY-06</t>
  </si>
  <si>
    <t>FLY-07</t>
  </si>
  <si>
    <t>FLY-08</t>
  </si>
  <si>
    <t>FLY-09</t>
  </si>
  <si>
    <t>FLY-10</t>
  </si>
  <si>
    <t>FLY-11</t>
  </si>
  <si>
    <t>FLY-12</t>
  </si>
  <si>
    <t>FLY-13</t>
  </si>
  <si>
    <t>FLY-14</t>
  </si>
  <si>
    <t>FLY-15</t>
  </si>
  <si>
    <t>FLY-16</t>
  </si>
  <si>
    <t>FLY-17</t>
  </si>
  <si>
    <t>FLY-18</t>
  </si>
  <si>
    <t>FLY-19</t>
  </si>
  <si>
    <t>FLY-20</t>
  </si>
  <si>
    <t>FLY-21</t>
  </si>
  <si>
    <t>FLY-22</t>
  </si>
  <si>
    <t>FLY-23</t>
  </si>
  <si>
    <t>FLY-24</t>
  </si>
  <si>
    <t>FLY-25</t>
  </si>
  <si>
    <t>FLY-26</t>
  </si>
  <si>
    <t>add %</t>
  </si>
  <si>
    <t>Pay Item No.</t>
  </si>
  <si>
    <t>Item Description</t>
  </si>
  <si>
    <t>Unit</t>
  </si>
  <si>
    <t>9+767 to 9+907</t>
  </si>
  <si>
    <t>14+015 to 14+215</t>
  </si>
  <si>
    <t>21+043 to 21+218</t>
  </si>
  <si>
    <t>21+683 to 21+713</t>
  </si>
  <si>
    <t>25+200 to 26+730</t>
  </si>
  <si>
    <t>30+240 to 30+280</t>
  </si>
  <si>
    <t>41+364 to 41+444</t>
  </si>
  <si>
    <t>45+210 to 45+255</t>
  </si>
  <si>
    <t>53+930 to 54+000</t>
  </si>
  <si>
    <t>56+107 to 56+467</t>
  </si>
  <si>
    <t>58+110 to 58+350</t>
  </si>
  <si>
    <t>58+883 to 59+123</t>
  </si>
  <si>
    <t>61+495 to 61+695</t>
  </si>
  <si>
    <t>62+109 to 62+249</t>
  </si>
  <si>
    <t>62+287 to 62+367</t>
  </si>
  <si>
    <t>62+431 to 62+511</t>
  </si>
  <si>
    <t>62+851 to 62+991</t>
  </si>
  <si>
    <t>68+736 to 68+816</t>
  </si>
  <si>
    <t>69+015 to 69+120</t>
  </si>
  <si>
    <t>73+347 to 73+707</t>
  </si>
  <si>
    <t>75+000 to 75+160</t>
  </si>
  <si>
    <t>85+596 to 85+836</t>
  </si>
  <si>
    <t>86+475 to 86+675</t>
  </si>
  <si>
    <t>90+320 to 90+600</t>
  </si>
  <si>
    <t>92+986 to 93+186</t>
  </si>
  <si>
    <t>97+510 to 97+710</t>
  </si>
  <si>
    <t>2+179</t>
  </si>
  <si>
    <t>63+543</t>
  </si>
  <si>
    <t>64+564</t>
  </si>
  <si>
    <t>65+191</t>
  </si>
  <si>
    <t>66+775</t>
  </si>
  <si>
    <t>69+500</t>
  </si>
  <si>
    <t>70+357</t>
  </si>
  <si>
    <t>77+458</t>
  </si>
  <si>
    <t>80+962</t>
  </si>
  <si>
    <t>82+513</t>
  </si>
  <si>
    <t>82+828</t>
  </si>
  <si>
    <t>85+091</t>
  </si>
  <si>
    <t>89+062</t>
  </si>
  <si>
    <t>93+923</t>
  </si>
  <si>
    <t>95+157</t>
  </si>
  <si>
    <t>95+668</t>
  </si>
  <si>
    <t>96+768</t>
  </si>
  <si>
    <t>100+409</t>
  </si>
  <si>
    <t>103+330</t>
  </si>
  <si>
    <t>103+860</t>
  </si>
  <si>
    <t>106+998</t>
  </si>
  <si>
    <t>108+862</t>
  </si>
  <si>
    <t>112+159</t>
  </si>
  <si>
    <t>112+470</t>
  </si>
  <si>
    <t>115+257</t>
  </si>
  <si>
    <t>116+653</t>
  </si>
  <si>
    <t xml:space="preserve">Quantity          </t>
  </si>
  <si>
    <t>Rate (Rs.)</t>
  </si>
  <si>
    <t>Amount (Rs.)</t>
  </si>
  <si>
    <t>107a</t>
  </si>
  <si>
    <t>Structural excavation in common material.</t>
  </si>
  <si>
    <t>C.M</t>
  </si>
  <si>
    <t>107d</t>
  </si>
  <si>
    <t xml:space="preserve">Granular backfill </t>
  </si>
  <si>
    <t>107e</t>
  </si>
  <si>
    <t>Common back fill</t>
  </si>
  <si>
    <t>Cast-in-place concrete piles  dia as per drawings (excluding reinforcement).</t>
  </si>
  <si>
    <t>a</t>
  </si>
  <si>
    <t>Test piles dia as per drawings (excluding reinforcement)</t>
  </si>
  <si>
    <t>407d3</t>
  </si>
  <si>
    <t>Cast in Place concrete piles upto 1.1-1.5 M  dia in   Normal soil (Boring only)</t>
  </si>
  <si>
    <t>M</t>
  </si>
  <si>
    <t>407d4</t>
  </si>
  <si>
    <t>Cast in Place concrete piles upto 1.1-1.5 M  dia in  Gravel strata (Boring only)</t>
  </si>
  <si>
    <t>407d5</t>
  </si>
  <si>
    <t>Cast in Place concrete piles upto 1.6-2 M  dia in   Normal soil (Boring only)</t>
  </si>
  <si>
    <t>407d6</t>
  </si>
  <si>
    <t>Cast in Place concrete piles upto 1.6-1.2 M  dia in  Gravel strata (Boring only)</t>
  </si>
  <si>
    <t>401a3(i)</t>
  </si>
  <si>
    <t>Concrete class A3 underground in piles</t>
  </si>
  <si>
    <t>b</t>
  </si>
  <si>
    <t>working piles dia as per drawings  (excluding reinforcement.)</t>
  </si>
  <si>
    <t>401a1ii</t>
  </si>
  <si>
    <t>Concrete Class A1 on ground (Barrier, Approach Slab, Sleeper Slab)</t>
  </si>
  <si>
    <t>401a3ii</t>
  </si>
  <si>
    <t>Concrete Class A3 on ground (Slab,Wing walls, Back walls,Shear keys, Ear wall,Bearing Pad Pedestal)</t>
  </si>
  <si>
    <t>401a3i</t>
  </si>
  <si>
    <t>Concrete Class A3 underground (Pile Caps, abutment wall foundation/ footing,Retaining wall footing)</t>
  </si>
  <si>
    <t>401a3iii</t>
  </si>
  <si>
    <t>Concrete Class A3 Elevated (Columns,Piers Transome,Abutment Transome,Abutment walls,Shafts,Diaphrams,Deck slabs,Retaining wall,counter fort wall)</t>
  </si>
  <si>
    <t>401gv</t>
  </si>
  <si>
    <t xml:space="preserve"> Precast Concrete Class D2 (Prestressed Concrete Girders)</t>
  </si>
  <si>
    <t>401gii</t>
  </si>
  <si>
    <t>Precast Concrete Class A3 (R.c.c Beam Girder)</t>
  </si>
  <si>
    <t>401f</t>
  </si>
  <si>
    <t xml:space="preserve">Lean concrete </t>
  </si>
  <si>
    <t>404b</t>
  </si>
  <si>
    <t>Reinforcement as per AASHTO M31.Grade 60.</t>
  </si>
  <si>
    <t>TON</t>
  </si>
  <si>
    <t>404h</t>
  </si>
  <si>
    <t>Reinforcement as per ASTM-A-36 Structural Shape (for bearing steel/sole  plats)</t>
  </si>
  <si>
    <t>405a</t>
  </si>
  <si>
    <t>Pre-stressing wiring strands 3/8"-1/2" DIA complete in all respects</t>
  </si>
  <si>
    <t>405b</t>
  </si>
  <si>
    <t>Launching of girders</t>
  </si>
  <si>
    <t>406ai</t>
  </si>
  <si>
    <t>Approved Filler Board 20mm thick with poly sulphide sealant as per drawings &amp; specification</t>
  </si>
  <si>
    <t>S.M</t>
  </si>
  <si>
    <t>406aii</t>
  </si>
  <si>
    <t>Bitumen imprignated Filler Board 10mm thick with poly sulphide sealant as per drawings &amp; specification</t>
  </si>
  <si>
    <t>406ei</t>
  </si>
  <si>
    <t>Elastomeric Bearing Pads (According to size &amp; thickness)-Imported (Asian Make) or equivalent  as per drawings and sepecification or as directed by the Engineer</t>
  </si>
  <si>
    <t>Cu.cm</t>
  </si>
  <si>
    <t>406i</t>
  </si>
  <si>
    <t>Placing and fixing Neoprene Bearing Strip/sheet thickness as per drawings &amp; specification</t>
  </si>
  <si>
    <t>407j1</t>
  </si>
  <si>
    <t xml:space="preserve">Proof Load Test upto 360 Ton on working piles </t>
  </si>
  <si>
    <t>Each</t>
  </si>
  <si>
    <t>407k1</t>
  </si>
  <si>
    <t xml:space="preserve">Proof Load Test upto 550 Ton on working piles </t>
  </si>
  <si>
    <t>407l</t>
  </si>
  <si>
    <t>Pile Load Test upto 800 Ton on Test piles</t>
  </si>
  <si>
    <t>407l1</t>
  </si>
  <si>
    <t xml:space="preserve">Proof Load Test upto 800 Ton on working piles </t>
  </si>
  <si>
    <t>407u</t>
  </si>
  <si>
    <t>Pile Load Test upto 1200 Ton on Test piles</t>
  </si>
  <si>
    <t>407n</t>
  </si>
  <si>
    <t>Permenant 10mm Steel Lining for Piles as shown in drawings complete in all repects</t>
  </si>
  <si>
    <t>SP-407v</t>
  </si>
  <si>
    <t>High strain Dynamic Load Test up to 1200 Ton on Test piles complete in all respect as per drawings and specfication</t>
  </si>
  <si>
    <t>SP-407x</t>
  </si>
  <si>
    <t>High strain Dynamic Load Test up to 1500 Ton on Test piles complete in all respect as per drawings and specfication</t>
  </si>
  <si>
    <t>SP-407y</t>
  </si>
  <si>
    <t xml:space="preserve">Cross Hole Sonic Logging Test on working piles including G.I.pipes and grouting complete in all respect as per drawings and specification </t>
  </si>
  <si>
    <t>406cvii</t>
  </si>
  <si>
    <t xml:space="preserve"> Expansion Joint -Nosing-Molded Vulcanized elastomer single section (one piece,monoblock)- Imported (Asian make)  or equivalent as per drawings and sepecification or as directed by the Engineer</t>
  </si>
  <si>
    <t>509d</t>
  </si>
  <si>
    <t>Grouted Rip Rap Class A</t>
  </si>
  <si>
    <t>509e</t>
  </si>
  <si>
    <t>Grouted Rip Rap Class B</t>
  </si>
  <si>
    <t>509b</t>
  </si>
  <si>
    <t>Rip Rap Class B</t>
  </si>
  <si>
    <t>509h</t>
  </si>
  <si>
    <t>Filter Layer of Granular Material</t>
  </si>
  <si>
    <t>401h</t>
  </si>
  <si>
    <t xml:space="preserve">Plum Concrete </t>
  </si>
  <si>
    <t>Granular Subbase</t>
  </si>
  <si>
    <t>SP-614b</t>
  </si>
  <si>
    <t>G.I. drain pipes (75mm diameter ) as per drawings</t>
  </si>
  <si>
    <t>SP-616e</t>
  </si>
  <si>
    <t>PVC pipe 25 mm DIA along deck slab for dowels  filled with soft bitumen as per drawings and sepcification</t>
  </si>
  <si>
    <t>SP-807</t>
  </si>
  <si>
    <t>Construction of Overhead Steel Pedestrian Bridges including excavation,backfilling,paint and fixing Complete in all respects as per drawings and sepcifications (4 Nos)</t>
  </si>
  <si>
    <t>L.S</t>
  </si>
  <si>
    <t>Soil Investigation (SP-414)</t>
  </si>
  <si>
    <t>Relocation of Railway Line Includind Temporary Bridge</t>
  </si>
  <si>
    <t>Relocation of N-5 Including Temporary Bridge</t>
  </si>
  <si>
    <t>TOTAL BILL NO. 4F: STRUCTURES (BRIDGES &amp; FLYOVERS) (RS)</t>
  </si>
  <si>
    <t>Area</t>
  </si>
  <si>
    <t>cost/sqm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</si>
</sst>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0_)"/>
    <numFmt numFmtId="165" formatCode="_(* #,##0_);_(* \(#,##0\);_(* &quot;-&quot;??_);_(@_)"/>
    <numFmt numFmtId="166" formatCode="#,##0.0_);\(#,##0.0\)"/>
    <numFmt numFmtId="167" formatCode="0_)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name val="Arial"/>
      <family val="2"/>
    </font>
    <font>
      <b/>
      <sz val="11"/>
      <name val="Arial"/>
      <family val="2"/>
    </font>
    <font>
      <b/>
      <sz val="11"/>
      <color rgb="FFFF0000"/>
      <name val="Arial"/>
      <family val="2"/>
    </font>
    <font>
      <sz val="11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b/>
      <sz val="12"/>
      <color rgb="FFFF0000"/>
      <name val="Times New Roman"/>
      <family val="1"/>
    </font>
    <font>
      <sz val="10"/>
      <name val="Arial"/>
      <family val="2"/>
    </font>
    <font>
      <sz val="12"/>
      <color rgb="FFFF0000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Arial"/>
      <family val="2"/>
    </font>
    <font>
      <sz val="11"/>
      <color rgb="FFFF0000"/>
      <name val="Arial"/>
      <family val="2"/>
    </font>
    <font>
      <sz val="11"/>
      <color theme="1"/>
      <name val="Arial"/>
      <family val="2"/>
    </font>
    <font>
      <sz val="11"/>
      <color indexed="8"/>
      <name val="Arial"/>
      <family val="2"/>
    </font>
    <font>
      <sz val="11"/>
      <color theme="1"/>
      <name val="Times New Roman"/>
      <family val="1"/>
    </font>
    <font>
      <sz val="12"/>
      <color rgb="FF000000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medium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indexed="63"/>
      </left>
      <right style="thin">
        <color indexed="63"/>
      </right>
      <top/>
      <bottom/>
      <diagonal/>
    </border>
    <border>
      <left style="thin">
        <color indexed="63"/>
      </left>
      <right style="thin">
        <color indexed="63"/>
      </right>
      <top/>
      <bottom/>
      <diagonal/>
    </border>
    <border>
      <left style="thin">
        <color indexed="59"/>
      </left>
      <right style="thin">
        <color indexed="59"/>
      </right>
      <top/>
      <bottom/>
      <diagonal/>
    </border>
    <border>
      <left style="thin">
        <color indexed="63"/>
      </left>
      <right style="medium">
        <color indexed="63"/>
      </right>
      <top/>
      <bottom/>
      <diagonal/>
    </border>
    <border>
      <left/>
      <right style="thin">
        <color indexed="63"/>
      </right>
      <top/>
      <bottom/>
      <diagonal/>
    </border>
    <border>
      <left style="medium">
        <color indexed="63"/>
      </left>
      <right/>
      <top/>
      <bottom/>
      <diagonal/>
    </border>
    <border>
      <left style="thin">
        <color indexed="63"/>
      </left>
      <right/>
      <top/>
      <bottom/>
      <diagonal/>
    </border>
    <border>
      <left style="medium">
        <color indexed="63"/>
      </left>
      <right/>
      <top style="medium">
        <color indexed="63"/>
      </top>
      <bottom style="medium">
        <color indexed="63"/>
      </bottom>
      <diagonal/>
    </border>
    <border>
      <left/>
      <right/>
      <top style="medium">
        <color indexed="63"/>
      </top>
      <bottom style="medium">
        <color indexed="63"/>
      </bottom>
      <diagonal/>
    </border>
    <border>
      <left/>
      <right style="thin">
        <color indexed="63"/>
      </right>
      <top style="medium">
        <color indexed="63"/>
      </top>
      <bottom style="medium">
        <color indexed="63"/>
      </bottom>
      <diagonal/>
    </border>
    <border>
      <left style="thin">
        <color indexed="63"/>
      </left>
      <right style="medium">
        <color indexed="63"/>
      </right>
      <top style="medium">
        <color indexed="63"/>
      </top>
      <bottom style="medium">
        <color indexed="6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0" fontId="9" fillId="0" borderId="0"/>
    <xf numFmtId="164" fontId="2" fillId="0" borderId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166" fontId="2" fillId="0" borderId="0"/>
  </cellStyleXfs>
  <cellXfs count="113">
    <xf numFmtId="0" fontId="0" fillId="0" borderId="0" xfId="0"/>
    <xf numFmtId="164" fontId="3" fillId="0" borderId="0" xfId="2" applyFont="1" applyAlignment="1">
      <alignment horizontal="center" vertical="center" wrapText="1"/>
    </xf>
    <xf numFmtId="2" fontId="4" fillId="0" borderId="0" xfId="2" applyNumberFormat="1" applyFont="1" applyAlignment="1">
      <alignment horizontal="left" vertical="center" wrapText="1"/>
    </xf>
    <xf numFmtId="164" fontId="5" fillId="0" borderId="0" xfId="2" applyFont="1"/>
    <xf numFmtId="164" fontId="5" fillId="2" borderId="0" xfId="2" applyFont="1" applyFill="1"/>
    <xf numFmtId="164" fontId="6" fillId="0" borderId="0" xfId="2" applyFont="1" applyAlignment="1">
      <alignment horizontal="center" vertical="center" wrapText="1"/>
    </xf>
    <xf numFmtId="2" fontId="8" fillId="0" borderId="0" xfId="2" applyNumberFormat="1" applyFont="1" applyAlignment="1">
      <alignment horizontal="left" vertical="center" wrapText="1"/>
    </xf>
    <xf numFmtId="164" fontId="7" fillId="0" borderId="0" xfId="2" applyFont="1"/>
    <xf numFmtId="164" fontId="7" fillId="2" borderId="0" xfId="2" applyFont="1" applyFill="1"/>
    <xf numFmtId="0" fontId="6" fillId="0" borderId="0" xfId="3" applyFont="1" applyAlignment="1">
      <alignment horizontal="left"/>
    </xf>
    <xf numFmtId="2" fontId="10" fillId="0" borderId="0" xfId="4" applyNumberFormat="1" applyFont="1" applyAlignment="1">
      <alignment horizontal="left"/>
    </xf>
    <xf numFmtId="164" fontId="7" fillId="0" borderId="0" xfId="4" applyFont="1" applyAlignment="1">
      <alignment horizontal="left"/>
    </xf>
    <xf numFmtId="164" fontId="2" fillId="0" borderId="0" xfId="4" applyAlignment="1">
      <alignment horizontal="left"/>
    </xf>
    <xf numFmtId="0" fontId="6" fillId="0" borderId="0" xfId="3" applyFont="1"/>
    <xf numFmtId="164" fontId="7" fillId="0" borderId="0" xfId="4" applyFont="1"/>
    <xf numFmtId="43" fontId="6" fillId="0" borderId="0" xfId="5" applyFont="1" applyFill="1" applyAlignment="1">
      <alignment horizontal="left" vertical="center"/>
    </xf>
    <xf numFmtId="43" fontId="6" fillId="0" borderId="0" xfId="5" applyFont="1" applyFill="1" applyAlignment="1">
      <alignment horizontal="center" vertical="center"/>
    </xf>
    <xf numFmtId="43" fontId="6" fillId="0" borderId="0" xfId="5" applyFont="1" applyFill="1" applyBorder="1" applyAlignment="1">
      <alignment horizontal="center" vertical="center" wrapText="1"/>
    </xf>
    <xf numFmtId="165" fontId="7" fillId="0" borderId="0" xfId="6" applyNumberFormat="1" applyFont="1" applyFill="1" applyBorder="1" applyAlignment="1">
      <alignment horizontal="center" vertical="center" wrapText="1"/>
    </xf>
    <xf numFmtId="43" fontId="7" fillId="0" borderId="0" xfId="6" applyFont="1" applyFill="1" applyBorder="1" applyAlignment="1">
      <alignment horizontal="center" vertical="center" wrapText="1"/>
    </xf>
    <xf numFmtId="165" fontId="7" fillId="0" borderId="0" xfId="7" applyNumberFormat="1" applyFont="1" applyFill="1" applyBorder="1" applyAlignment="1">
      <alignment horizontal="center" vertical="center" wrapText="1"/>
    </xf>
    <xf numFmtId="164" fontId="2" fillId="0" borderId="0" xfId="4"/>
    <xf numFmtId="164" fontId="6" fillId="0" borderId="1" xfId="2" applyFont="1" applyBorder="1" applyAlignment="1">
      <alignment horizontal="center" vertical="center" wrapText="1"/>
    </xf>
    <xf numFmtId="164" fontId="6" fillId="0" borderId="2" xfId="2" applyFont="1" applyBorder="1" applyAlignment="1">
      <alignment horizontal="center" vertical="center" wrapText="1"/>
    </xf>
    <xf numFmtId="164" fontId="8" fillId="0" borderId="2" xfId="2" applyFont="1" applyBorder="1" applyAlignment="1">
      <alignment horizontal="center" vertical="center" wrapText="1"/>
    </xf>
    <xf numFmtId="165" fontId="6" fillId="0" borderId="2" xfId="6" applyNumberFormat="1" applyFont="1" applyFill="1" applyBorder="1" applyAlignment="1">
      <alignment horizontal="center" vertical="center" wrapText="1"/>
    </xf>
    <xf numFmtId="43" fontId="6" fillId="0" borderId="2" xfId="6" applyFont="1" applyFill="1" applyBorder="1" applyAlignment="1">
      <alignment horizontal="center" vertical="center" wrapText="1"/>
    </xf>
    <xf numFmtId="165" fontId="6" fillId="0" borderId="3" xfId="7" applyNumberFormat="1" applyFont="1" applyFill="1" applyBorder="1" applyAlignment="1">
      <alignment horizontal="center" vertical="center" wrapText="1"/>
    </xf>
    <xf numFmtId="164" fontId="7" fillId="0" borderId="0" xfId="4" applyFont="1" applyAlignment="1">
      <alignment horizontal="right"/>
    </xf>
    <xf numFmtId="164" fontId="5" fillId="0" borderId="0" xfId="4" applyFont="1"/>
    <xf numFmtId="164" fontId="7" fillId="0" borderId="4" xfId="4" applyFont="1" applyBorder="1" applyAlignment="1">
      <alignment horizontal="center" vertical="top" wrapText="1"/>
    </xf>
    <xf numFmtId="164" fontId="7" fillId="0" borderId="5" xfId="4" applyFont="1" applyBorder="1" applyAlignment="1">
      <alignment vertical="top" wrapText="1"/>
    </xf>
    <xf numFmtId="164" fontId="7" fillId="0" borderId="5" xfId="4" applyFont="1" applyBorder="1" applyAlignment="1">
      <alignment horizontal="center" vertical="top" wrapText="1"/>
    </xf>
    <xf numFmtId="164" fontId="7" fillId="0" borderId="0" xfId="4" applyFont="1" applyAlignment="1">
      <alignment horizontal="center" vertical="top" wrapText="1"/>
    </xf>
    <xf numFmtId="43" fontId="11" fillId="0" borderId="5" xfId="8" applyFont="1" applyFill="1" applyBorder="1" applyAlignment="1">
      <alignment horizontal="center" vertical="top" wrapText="1"/>
    </xf>
    <xf numFmtId="165" fontId="11" fillId="0" borderId="5" xfId="6" applyNumberFormat="1" applyFont="1" applyFill="1" applyBorder="1" applyAlignment="1">
      <alignment horizontal="right" vertical="top" wrapText="1"/>
    </xf>
    <xf numFmtId="43" fontId="11" fillId="0" borderId="6" xfId="6" applyFont="1" applyFill="1" applyBorder="1" applyAlignment="1">
      <alignment horizontal="right" vertical="top" wrapText="1"/>
    </xf>
    <xf numFmtId="3" fontId="11" fillId="0" borderId="7" xfId="7" applyNumberFormat="1" applyFont="1" applyFill="1" applyBorder="1" applyAlignment="1">
      <alignment horizontal="right" vertical="top" wrapText="1"/>
    </xf>
    <xf numFmtId="2" fontId="10" fillId="0" borderId="0" xfId="4" applyNumberFormat="1" applyFont="1" applyAlignment="1">
      <alignment horizontal="left" vertical="top"/>
    </xf>
    <xf numFmtId="164" fontId="7" fillId="0" borderId="0" xfId="4" applyFont="1" applyAlignment="1">
      <alignment vertical="top"/>
    </xf>
    <xf numFmtId="164" fontId="2" fillId="0" borderId="0" xfId="4" applyAlignment="1">
      <alignment vertical="top"/>
    </xf>
    <xf numFmtId="43" fontId="11" fillId="0" borderId="5" xfId="6" applyFont="1" applyFill="1" applyBorder="1" applyAlignment="1">
      <alignment horizontal="right" vertical="top" wrapText="1"/>
    </xf>
    <xf numFmtId="0" fontId="11" fillId="0" borderId="4" xfId="9" applyFont="1" applyBorder="1" applyAlignment="1">
      <alignment horizontal="center" vertical="top"/>
    </xf>
    <xf numFmtId="0" fontId="12" fillId="0" borderId="5" xfId="9" applyFont="1" applyBorder="1" applyAlignment="1">
      <alignment horizontal="left" vertical="top" wrapText="1"/>
    </xf>
    <xf numFmtId="164" fontId="6" fillId="0" borderId="5" xfId="4" applyFont="1" applyBorder="1" applyAlignment="1">
      <alignment vertical="top" wrapText="1"/>
    </xf>
    <xf numFmtId="43" fontId="11" fillId="0" borderId="5" xfId="6" applyFont="1" applyFill="1" applyBorder="1" applyAlignment="1">
      <alignment horizontal="right" vertical="top"/>
    </xf>
    <xf numFmtId="164" fontId="2" fillId="2" borderId="0" xfId="4" applyFill="1" applyAlignment="1">
      <alignment vertical="top"/>
    </xf>
    <xf numFmtId="164" fontId="7" fillId="0" borderId="4" xfId="4" applyFont="1" applyBorder="1" applyAlignment="1">
      <alignment horizontal="right" vertical="top" wrapText="1"/>
    </xf>
    <xf numFmtId="164" fontId="11" fillId="0" borderId="5" xfId="4" applyFont="1" applyBorder="1" applyAlignment="1">
      <alignment horizontal="left" vertical="top" wrapText="1"/>
    </xf>
    <xf numFmtId="164" fontId="7" fillId="0" borderId="5" xfId="4" applyFont="1" applyBorder="1" applyAlignment="1">
      <alignment horizontal="left" vertical="top" wrapText="1"/>
    </xf>
    <xf numFmtId="166" fontId="7" fillId="0" borderId="4" xfId="10" applyFont="1" applyBorder="1" applyAlignment="1">
      <alignment horizontal="center" vertical="top" wrapText="1"/>
    </xf>
    <xf numFmtId="164" fontId="6" fillId="0" borderId="5" xfId="4" applyFont="1" applyBorder="1" applyAlignment="1">
      <alignment horizontal="left" vertical="top" wrapText="1"/>
    </xf>
    <xf numFmtId="164" fontId="11" fillId="0" borderId="4" xfId="4" applyFont="1" applyBorder="1" applyAlignment="1">
      <alignment horizontal="right" vertical="top" wrapText="1"/>
    </xf>
    <xf numFmtId="164" fontId="11" fillId="0" borderId="5" xfId="4" applyFont="1" applyBorder="1" applyAlignment="1">
      <alignment horizontal="center" vertical="top" wrapText="1"/>
    </xf>
    <xf numFmtId="2" fontId="11" fillId="0" borderId="0" xfId="4" applyNumberFormat="1" applyFont="1" applyAlignment="1">
      <alignment horizontal="left" vertical="top"/>
    </xf>
    <xf numFmtId="164" fontId="11" fillId="0" borderId="0" xfId="4" applyFont="1" applyAlignment="1">
      <alignment vertical="top"/>
    </xf>
    <xf numFmtId="164" fontId="13" fillId="0" borderId="0" xfId="4" applyFont="1" applyAlignment="1">
      <alignment vertical="top"/>
    </xf>
    <xf numFmtId="164" fontId="11" fillId="0" borderId="4" xfId="4" applyFont="1" applyBorder="1" applyAlignment="1">
      <alignment horizontal="center" vertical="top" wrapText="1"/>
    </xf>
    <xf numFmtId="164" fontId="11" fillId="0" borderId="5" xfId="4" applyFont="1" applyBorder="1" applyAlignment="1">
      <alignment vertical="top" wrapText="1"/>
    </xf>
    <xf numFmtId="0" fontId="7" fillId="0" borderId="4" xfId="9" applyFont="1" applyBorder="1" applyAlignment="1">
      <alignment horizontal="center" vertical="top"/>
    </xf>
    <xf numFmtId="0" fontId="7" fillId="0" borderId="5" xfId="9" applyFont="1" applyBorder="1" applyAlignment="1">
      <alignment vertical="top" wrapText="1"/>
    </xf>
    <xf numFmtId="0" fontId="7" fillId="0" borderId="5" xfId="9" applyFont="1" applyBorder="1" applyAlignment="1">
      <alignment horizontal="left" vertical="top" wrapText="1"/>
    </xf>
    <xf numFmtId="167" fontId="7" fillId="0" borderId="4" xfId="4" applyNumberFormat="1" applyFont="1" applyBorder="1" applyAlignment="1">
      <alignment horizontal="center" vertical="top" wrapText="1"/>
    </xf>
    <xf numFmtId="167" fontId="11" fillId="0" borderId="4" xfId="4" applyNumberFormat="1" applyFont="1" applyBorder="1" applyAlignment="1">
      <alignment horizontal="center" vertical="top" wrapText="1"/>
    </xf>
    <xf numFmtId="43" fontId="11" fillId="0" borderId="5" xfId="6" applyFont="1" applyFill="1" applyBorder="1" applyAlignment="1">
      <alignment horizontal="center" vertical="top" wrapText="1"/>
    </xf>
    <xf numFmtId="43" fontId="7" fillId="0" borderId="5" xfId="6" applyFont="1" applyFill="1" applyBorder="1" applyAlignment="1">
      <alignment horizontal="center" vertical="top" wrapText="1"/>
    </xf>
    <xf numFmtId="164" fontId="7" fillId="0" borderId="8" xfId="4" applyFont="1" applyBorder="1" applyAlignment="1">
      <alignment horizontal="center" vertical="top" wrapText="1"/>
    </xf>
    <xf numFmtId="164" fontId="10" fillId="0" borderId="5" xfId="4" applyFont="1" applyBorder="1" applyAlignment="1">
      <alignment horizontal="center" vertical="top" wrapText="1"/>
    </xf>
    <xf numFmtId="164" fontId="2" fillId="3" borderId="0" xfId="4" applyFill="1" applyAlignment="1">
      <alignment vertical="top"/>
    </xf>
    <xf numFmtId="43" fontId="7" fillId="0" borderId="5" xfId="6" applyFont="1" applyFill="1" applyBorder="1" applyAlignment="1">
      <alignment vertical="center" wrapText="1"/>
    </xf>
    <xf numFmtId="164" fontId="13" fillId="2" borderId="0" xfId="4" applyFont="1" applyFill="1" applyAlignment="1">
      <alignment vertical="top"/>
    </xf>
    <xf numFmtId="0" fontId="7" fillId="0" borderId="4" xfId="9" applyFont="1" applyBorder="1" applyAlignment="1">
      <alignment horizontal="center" vertical="top" wrapText="1"/>
    </xf>
    <xf numFmtId="0" fontId="11" fillId="0" borderId="5" xfId="9" applyFont="1" applyBorder="1" applyAlignment="1">
      <alignment vertical="top" wrapText="1"/>
    </xf>
    <xf numFmtId="0" fontId="7" fillId="0" borderId="9" xfId="9" applyFont="1" applyBorder="1" applyAlignment="1">
      <alignment horizontal="center" vertical="top" wrapText="1"/>
    </xf>
    <xf numFmtId="43" fontId="7" fillId="0" borderId="5" xfId="1" applyFont="1" applyFill="1" applyBorder="1" applyAlignment="1">
      <alignment horizontal="center" vertical="top" wrapText="1"/>
    </xf>
    <xf numFmtId="43" fontId="10" fillId="0" borderId="0" xfId="6" applyFont="1" applyFill="1" applyAlignment="1">
      <alignment horizontal="left" vertical="top"/>
    </xf>
    <xf numFmtId="0" fontId="7" fillId="0" borderId="0" xfId="9" applyFont="1" applyAlignment="1">
      <alignment vertical="top" wrapText="1"/>
    </xf>
    <xf numFmtId="43" fontId="7" fillId="0" borderId="0" xfId="1" applyFont="1" applyFill="1" applyBorder="1" applyAlignment="1">
      <alignment horizontal="center" vertical="top" wrapText="1"/>
    </xf>
    <xf numFmtId="165" fontId="11" fillId="0" borderId="0" xfId="6" applyNumberFormat="1" applyFont="1" applyFill="1" applyBorder="1" applyAlignment="1">
      <alignment horizontal="right" vertical="top" wrapText="1"/>
    </xf>
    <xf numFmtId="43" fontId="7" fillId="0" borderId="8" xfId="6" applyFont="1" applyFill="1" applyBorder="1" applyAlignment="1">
      <alignment horizontal="center" vertical="top" wrapText="1"/>
    </xf>
    <xf numFmtId="165" fontId="11" fillId="0" borderId="10" xfId="6" applyNumberFormat="1" applyFont="1" applyFill="1" applyBorder="1" applyAlignment="1">
      <alignment horizontal="right" vertical="top" wrapText="1"/>
    </xf>
    <xf numFmtId="164" fontId="6" fillId="0" borderId="11" xfId="4" applyFont="1" applyBorder="1" applyAlignment="1">
      <alignment horizontal="center" vertical="top"/>
    </xf>
    <xf numFmtId="164" fontId="6" fillId="0" borderId="12" xfId="4" applyFont="1" applyBorder="1" applyAlignment="1">
      <alignment horizontal="center" vertical="top"/>
    </xf>
    <xf numFmtId="164" fontId="6" fillId="0" borderId="13" xfId="4" applyFont="1" applyBorder="1" applyAlignment="1">
      <alignment horizontal="center" vertical="top"/>
    </xf>
    <xf numFmtId="165" fontId="6" fillId="0" borderId="14" xfId="7" applyNumberFormat="1" applyFont="1" applyFill="1" applyBorder="1" applyAlignment="1">
      <alignment vertical="top"/>
    </xf>
    <xf numFmtId="165" fontId="6" fillId="0" borderId="14" xfId="7" applyNumberFormat="1" applyFont="1" applyBorder="1" applyAlignment="1">
      <alignment vertical="top"/>
    </xf>
    <xf numFmtId="164" fontId="5" fillId="0" borderId="0" xfId="4" applyFont="1" applyAlignment="1">
      <alignment horizontal="center" vertical="center"/>
    </xf>
    <xf numFmtId="164" fontId="14" fillId="0" borderId="0" xfId="4" applyFont="1"/>
    <xf numFmtId="43" fontId="15" fillId="0" borderId="0" xfId="5" applyFont="1" applyFill="1" applyProtection="1"/>
    <xf numFmtId="165" fontId="15" fillId="0" borderId="0" xfId="6" applyNumberFormat="1" applyFont="1" applyFill="1" applyAlignment="1" applyProtection="1"/>
    <xf numFmtId="43" fontId="16" fillId="0" borderId="0" xfId="6" applyFont="1" applyFill="1" applyAlignment="1" applyProtection="1"/>
    <xf numFmtId="165" fontId="16" fillId="0" borderId="0" xfId="7" applyNumberFormat="1" applyFont="1" applyFill="1" applyProtection="1"/>
    <xf numFmtId="2" fontId="14" fillId="0" borderId="0" xfId="4" applyNumberFormat="1" applyFont="1" applyAlignment="1">
      <alignment horizontal="left"/>
    </xf>
    <xf numFmtId="43" fontId="16" fillId="0" borderId="0" xfId="7" applyFont="1" applyFill="1" applyProtection="1"/>
    <xf numFmtId="43" fontId="2" fillId="0" borderId="0" xfId="6" applyFont="1" applyFill="1" applyAlignment="1"/>
    <xf numFmtId="43" fontId="2" fillId="0" borderId="0" xfId="6" applyFont="1" applyAlignment="1"/>
    <xf numFmtId="43" fontId="14" fillId="0" borderId="0" xfId="6" applyFont="1" applyFill="1" applyAlignment="1">
      <alignment horizontal="left"/>
    </xf>
    <xf numFmtId="3" fontId="11" fillId="0" borderId="15" xfId="0" applyNumberFormat="1" applyFont="1" applyBorder="1" applyAlignment="1">
      <alignment horizontal="right" vertical="center" wrapText="1"/>
    </xf>
    <xf numFmtId="3" fontId="11" fillId="0" borderId="16" xfId="0" applyNumberFormat="1" applyFont="1" applyBorder="1" applyAlignment="1">
      <alignment horizontal="right" vertical="center" wrapText="1"/>
    </xf>
    <xf numFmtId="0" fontId="11" fillId="0" borderId="16" xfId="0" applyFont="1" applyBorder="1" applyAlignment="1">
      <alignment horizontal="right" vertical="center" wrapText="1"/>
    </xf>
    <xf numFmtId="43" fontId="15" fillId="3" borderId="0" xfId="5" applyFont="1" applyFill="1" applyProtection="1"/>
    <xf numFmtId="43" fontId="15" fillId="0" borderId="0" xfId="6" applyFont="1" applyFill="1" applyAlignment="1" applyProtection="1"/>
    <xf numFmtId="0" fontId="0" fillId="0" borderId="17" xfId="0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/>
    </xf>
    <xf numFmtId="0" fontId="0" fillId="2" borderId="17" xfId="0" applyFill="1" applyBorder="1"/>
    <xf numFmtId="43" fontId="17" fillId="2" borderId="0" xfId="6" applyFont="1" applyFill="1" applyAlignment="1">
      <alignment vertical="center"/>
    </xf>
    <xf numFmtId="3" fontId="18" fillId="0" borderId="16" xfId="0" applyNumberFormat="1" applyFont="1" applyBorder="1" applyAlignment="1">
      <alignment horizontal="right" vertical="center" wrapText="1"/>
    </xf>
    <xf numFmtId="43" fontId="15" fillId="0" borderId="0" xfId="5" applyFont="1" applyFill="1"/>
    <xf numFmtId="165" fontId="15" fillId="0" borderId="0" xfId="6" applyNumberFormat="1" applyFont="1" applyFill="1" applyAlignment="1"/>
    <xf numFmtId="43" fontId="5" fillId="0" borderId="0" xfId="6" applyFont="1" applyFill="1" applyAlignment="1"/>
    <xf numFmtId="165" fontId="5" fillId="0" borderId="0" xfId="7" applyNumberFormat="1" applyFont="1" applyFill="1"/>
    <xf numFmtId="43" fontId="15" fillId="0" borderId="0" xfId="7" applyFont="1" applyFill="1" applyAlignment="1">
      <alignment horizontal="left"/>
    </xf>
  </cellXfs>
  <cellStyles count="11">
    <cellStyle name="Comma" xfId="1" builtinId="3"/>
    <cellStyle name="Comma 10" xfId="7" xr:uid="{7E17243A-2DCE-4B51-869A-73BDBB7E6070}"/>
    <cellStyle name="Comma 2" xfId="6" xr:uid="{279B6216-6E94-432D-86D9-2B78BA60E4D2}"/>
    <cellStyle name="Comma 2 3" xfId="5" xr:uid="{3A9F484D-D0F4-4156-88E5-3D31C024B624}"/>
    <cellStyle name="Comma 5" xfId="8" xr:uid="{0F9FA268-FDAA-49F4-B503-03BD21F6685D}"/>
    <cellStyle name="Normal" xfId="0" builtinId="0"/>
    <cellStyle name="Normal 2 3" xfId="10" xr:uid="{9344E7B2-B06A-48FF-B9DF-E49DA6FFC340}"/>
    <cellStyle name="Normal 2 4" xfId="2" xr:uid="{19C585AB-405A-4CEE-A8AD-CDBE8F22853D}"/>
    <cellStyle name="Normal 2_BC- 1 Span(26.03.11)(5x2)" xfId="9" xr:uid="{2E639E2E-68D3-4B31-A079-A53EB8EBA4DA}"/>
    <cellStyle name="Normal 3" xfId="4" xr:uid="{91716B95-A0D8-4F40-99E8-10AE21A43F08}"/>
    <cellStyle name="Normal 5" xfId="3" xr:uid="{FE50B6FE-DE0C-4DA3-9C7A-BEEE50816C8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MH\Desktop\Carbon%20emission%20of%20bridge%20Project%202.0\Supplementry\Copy%20of%20Supplementry%20Data.xlsx" TargetMode="External"/><Relationship Id="rId1" Type="http://schemas.openxmlformats.org/officeDocument/2006/relationships/externalLinkPath" Target="Copy%20of%20Supplementry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ridges Data"/>
      <sheetName val="Enginnering Sheet"/>
      <sheetName val="Materials Quantities"/>
      <sheetName val="Materials CF"/>
      <sheetName val="Transportation"/>
      <sheetName val=" Statistical summary"/>
      <sheetName val="Bridge Emission"/>
      <sheetName val="Material Contribution"/>
      <sheetName val="Data Classification"/>
      <sheetName val="Comparison of Carbon Emissions"/>
      <sheetName val="DQI Rating"/>
      <sheetName val="ADQI Material"/>
      <sheetName val="CF AQD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ADB30-FC0B-4DEB-A16E-69DFE077B998}">
  <sheetPr>
    <tabColor rgb="FFFFFF00"/>
  </sheetPr>
  <dimension ref="A1:BU106"/>
  <sheetViews>
    <sheetView tabSelected="1" defaultGridColor="0" view="pageBreakPreview" colorId="22" zoomScale="40" zoomScaleNormal="100" zoomScaleSheetLayoutView="40" workbookViewId="0">
      <selection activeCell="H34" sqref="H34"/>
    </sheetView>
  </sheetViews>
  <sheetFormatPr defaultColWidth="12.5703125" defaultRowHeight="5.65" customHeight="1" x14ac:dyDescent="0.2"/>
  <cols>
    <col min="1" max="1" width="18.85546875" style="86" customWidth="1"/>
    <col min="2" max="2" width="66.7109375" style="29" customWidth="1"/>
    <col min="3" max="3" width="10.7109375" style="29" customWidth="1"/>
    <col min="4" max="4" width="16.140625" style="29" bestFit="1" customWidth="1"/>
    <col min="5" max="5" width="18.5703125" style="87" bestFit="1" customWidth="1"/>
    <col min="6" max="8" width="18.5703125" style="29" bestFit="1" customWidth="1"/>
    <col min="9" max="9" width="19.140625" style="29" bestFit="1" customWidth="1"/>
    <col min="10" max="29" width="19.140625" style="108" bestFit="1" customWidth="1"/>
    <col min="30" max="56" width="16.7109375" style="108" customWidth="1"/>
    <col min="57" max="57" width="20" style="108" bestFit="1" customWidth="1"/>
    <col min="58" max="59" width="16.7109375" style="108" customWidth="1"/>
    <col min="60" max="60" width="19.85546875" style="108" bestFit="1" customWidth="1"/>
    <col min="61" max="61" width="16.7109375" style="108" customWidth="1"/>
    <col min="62" max="62" width="16.7109375" style="109" customWidth="1"/>
    <col min="63" max="63" width="16.7109375" style="110" customWidth="1"/>
    <col min="64" max="64" width="16.7109375" style="111" customWidth="1"/>
    <col min="65" max="65" width="17" style="92" bestFit="1" customWidth="1"/>
    <col min="66" max="69" width="20.140625" style="21" bestFit="1" customWidth="1"/>
    <col min="70" max="70" width="31.7109375" style="21" bestFit="1" customWidth="1"/>
    <col min="71" max="71" width="25.28515625" style="21" bestFit="1" customWidth="1"/>
    <col min="72" max="73" width="20.140625" style="21" bestFit="1" customWidth="1"/>
    <col min="74" max="16384" width="12.5703125" style="21"/>
  </cols>
  <sheetData>
    <row r="1" spans="1:73" s="4" customFormat="1" ht="50.1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2"/>
      <c r="BN1" s="3"/>
      <c r="BO1" s="3"/>
    </row>
    <row r="2" spans="1:73" s="4" customFormat="1" ht="24.95" customHeight="1" x14ac:dyDescent="0.25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6"/>
      <c r="BN2" s="7"/>
      <c r="BO2" s="7"/>
      <c r="BP2" s="8"/>
      <c r="BQ2" s="8"/>
      <c r="BR2" s="8"/>
      <c r="BS2" s="8"/>
      <c r="BT2" s="8"/>
      <c r="BU2" s="8"/>
    </row>
    <row r="3" spans="1:73" s="12" customFormat="1" ht="24.95" customHeight="1" x14ac:dyDescent="0.25">
      <c r="A3" s="9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10"/>
      <c r="BN3" s="11"/>
      <c r="BO3" s="11"/>
      <c r="BP3" s="11"/>
      <c r="BQ3" s="11"/>
      <c r="BR3" s="11"/>
      <c r="BS3" s="11"/>
      <c r="BT3" s="11"/>
      <c r="BU3" s="11"/>
    </row>
    <row r="4" spans="1:73" ht="15" customHeight="1" thickBot="1" x14ac:dyDescent="0.3">
      <c r="A4" s="13"/>
      <c r="B4" s="14"/>
      <c r="C4" s="15"/>
      <c r="D4" s="16" t="s">
        <v>2</v>
      </c>
      <c r="E4" s="16" t="s">
        <v>3</v>
      </c>
      <c r="F4" s="16" t="s">
        <v>4</v>
      </c>
      <c r="G4" s="16" t="s">
        <v>5</v>
      </c>
      <c r="H4" s="16" t="s">
        <v>6</v>
      </c>
      <c r="I4" s="16" t="s">
        <v>7</v>
      </c>
      <c r="J4" s="16" t="s">
        <v>8</v>
      </c>
      <c r="K4" s="16" t="s">
        <v>9</v>
      </c>
      <c r="L4" s="16" t="s">
        <v>10</v>
      </c>
      <c r="M4" s="16" t="s">
        <v>11</v>
      </c>
      <c r="N4" s="16" t="s">
        <v>12</v>
      </c>
      <c r="O4" s="16" t="s">
        <v>13</v>
      </c>
      <c r="P4" s="16" t="s">
        <v>14</v>
      </c>
      <c r="Q4" s="16" t="s">
        <v>15</v>
      </c>
      <c r="R4" s="16" t="s">
        <v>16</v>
      </c>
      <c r="S4" s="16" t="s">
        <v>17</v>
      </c>
      <c r="T4" s="16" t="s">
        <v>18</v>
      </c>
      <c r="U4" s="16" t="s">
        <v>19</v>
      </c>
      <c r="V4" s="16" t="s">
        <v>20</v>
      </c>
      <c r="W4" s="16" t="s">
        <v>21</v>
      </c>
      <c r="X4" s="16" t="s">
        <v>22</v>
      </c>
      <c r="Y4" s="16" t="s">
        <v>23</v>
      </c>
      <c r="Z4" s="16" t="s">
        <v>24</v>
      </c>
      <c r="AA4" s="16" t="s">
        <v>25</v>
      </c>
      <c r="AB4" s="16" t="s">
        <v>26</v>
      </c>
      <c r="AC4" s="16" t="s">
        <v>27</v>
      </c>
      <c r="AD4" s="17" t="s">
        <v>28</v>
      </c>
      <c r="AE4" s="17" t="s">
        <v>29</v>
      </c>
      <c r="AF4" s="17" t="s">
        <v>30</v>
      </c>
      <c r="AG4" s="17" t="s">
        <v>31</v>
      </c>
      <c r="AH4" s="17" t="s">
        <v>32</v>
      </c>
      <c r="AI4" s="17" t="s">
        <v>33</v>
      </c>
      <c r="AJ4" s="17" t="s">
        <v>34</v>
      </c>
      <c r="AK4" s="17" t="s">
        <v>35</v>
      </c>
      <c r="AL4" s="17" t="s">
        <v>36</v>
      </c>
      <c r="AM4" s="17" t="s">
        <v>37</v>
      </c>
      <c r="AN4" s="17" t="s">
        <v>38</v>
      </c>
      <c r="AO4" s="17" t="s">
        <v>39</v>
      </c>
      <c r="AP4" s="17" t="s">
        <v>40</v>
      </c>
      <c r="AQ4" s="17" t="s">
        <v>41</v>
      </c>
      <c r="AR4" s="17" t="s">
        <v>42</v>
      </c>
      <c r="AS4" s="17" t="s">
        <v>43</v>
      </c>
      <c r="AT4" s="17" t="s">
        <v>44</v>
      </c>
      <c r="AU4" s="17" t="s">
        <v>45</v>
      </c>
      <c r="AV4" s="17" t="s">
        <v>46</v>
      </c>
      <c r="AW4" s="17" t="s">
        <v>47</v>
      </c>
      <c r="AX4" s="17" t="s">
        <v>48</v>
      </c>
      <c r="AY4" s="17" t="s">
        <v>49</v>
      </c>
      <c r="AZ4" s="17" t="s">
        <v>50</v>
      </c>
      <c r="BA4" s="17" t="s">
        <v>51</v>
      </c>
      <c r="BB4" s="17" t="s">
        <v>52</v>
      </c>
      <c r="BC4" s="17" t="s">
        <v>53</v>
      </c>
      <c r="BD4" s="17"/>
      <c r="BE4" s="17"/>
      <c r="BF4" s="17"/>
      <c r="BG4" s="17"/>
      <c r="BH4" s="17"/>
      <c r="BI4" s="17"/>
      <c r="BJ4" s="18"/>
      <c r="BK4" s="19"/>
      <c r="BL4" s="20"/>
      <c r="BM4" s="10" t="s">
        <v>54</v>
      </c>
      <c r="BN4" s="14"/>
      <c r="BO4" s="14"/>
      <c r="BP4" s="14"/>
      <c r="BQ4" s="14"/>
      <c r="BR4" s="14"/>
      <c r="BS4" s="14"/>
      <c r="BT4" s="14"/>
      <c r="BU4" s="14"/>
    </row>
    <row r="5" spans="1:73" s="29" customFormat="1" ht="45" customHeight="1" thickBot="1" x14ac:dyDescent="0.3">
      <c r="A5" s="22" t="s">
        <v>55</v>
      </c>
      <c r="B5" s="23" t="s">
        <v>56</v>
      </c>
      <c r="C5" s="23" t="s">
        <v>57</v>
      </c>
      <c r="D5" s="23" t="s">
        <v>58</v>
      </c>
      <c r="E5" s="24" t="s">
        <v>59</v>
      </c>
      <c r="F5" s="23" t="s">
        <v>60</v>
      </c>
      <c r="G5" s="23" t="s">
        <v>61</v>
      </c>
      <c r="H5" s="23" t="s">
        <v>62</v>
      </c>
      <c r="I5" s="25" t="s">
        <v>63</v>
      </c>
      <c r="J5" s="25" t="s">
        <v>64</v>
      </c>
      <c r="K5" s="25" t="s">
        <v>65</v>
      </c>
      <c r="L5" s="25" t="s">
        <v>66</v>
      </c>
      <c r="M5" s="25" t="s">
        <v>67</v>
      </c>
      <c r="N5" s="25" t="s">
        <v>68</v>
      </c>
      <c r="O5" s="25" t="s">
        <v>69</v>
      </c>
      <c r="P5" s="25" t="s">
        <v>70</v>
      </c>
      <c r="Q5" s="25" t="s">
        <v>71</v>
      </c>
      <c r="R5" s="25" t="s">
        <v>72</v>
      </c>
      <c r="S5" s="25" t="s">
        <v>73</v>
      </c>
      <c r="T5" s="25" t="s">
        <v>74</v>
      </c>
      <c r="U5" s="25" t="s">
        <v>75</v>
      </c>
      <c r="V5" s="25" t="s">
        <v>76</v>
      </c>
      <c r="W5" s="25" t="s">
        <v>77</v>
      </c>
      <c r="X5" s="25" t="s">
        <v>78</v>
      </c>
      <c r="Y5" s="25" t="s">
        <v>79</v>
      </c>
      <c r="Z5" s="25" t="s">
        <v>80</v>
      </c>
      <c r="AA5" s="25" t="s">
        <v>81</v>
      </c>
      <c r="AB5" s="25" t="s">
        <v>82</v>
      </c>
      <c r="AC5" s="25" t="s">
        <v>83</v>
      </c>
      <c r="AD5" s="25" t="s">
        <v>84</v>
      </c>
      <c r="AE5" s="25" t="s">
        <v>85</v>
      </c>
      <c r="AF5" s="25" t="s">
        <v>86</v>
      </c>
      <c r="AG5" s="25" t="s">
        <v>87</v>
      </c>
      <c r="AH5" s="25" t="s">
        <v>88</v>
      </c>
      <c r="AI5" s="25" t="s">
        <v>89</v>
      </c>
      <c r="AJ5" s="25" t="s">
        <v>90</v>
      </c>
      <c r="AK5" s="25" t="s">
        <v>91</v>
      </c>
      <c r="AL5" s="25" t="s">
        <v>92</v>
      </c>
      <c r="AM5" s="25" t="s">
        <v>93</v>
      </c>
      <c r="AN5" s="25" t="s">
        <v>94</v>
      </c>
      <c r="AO5" s="25" t="s">
        <v>95</v>
      </c>
      <c r="AP5" s="25" t="s">
        <v>96</v>
      </c>
      <c r="AQ5" s="25" t="s">
        <v>97</v>
      </c>
      <c r="AR5" s="25" t="s">
        <v>98</v>
      </c>
      <c r="AS5" s="25" t="s">
        <v>99</v>
      </c>
      <c r="AT5" s="25" t="s">
        <v>100</v>
      </c>
      <c r="AU5" s="25" t="s">
        <v>101</v>
      </c>
      <c r="AV5" s="25" t="s">
        <v>102</v>
      </c>
      <c r="AW5" s="25" t="s">
        <v>103</v>
      </c>
      <c r="AX5" s="25" t="s">
        <v>104</v>
      </c>
      <c r="AY5" s="25" t="s">
        <v>105</v>
      </c>
      <c r="AZ5" s="25" t="s">
        <v>106</v>
      </c>
      <c r="BA5" s="25" t="s">
        <v>107</v>
      </c>
      <c r="BB5" s="25" t="s">
        <v>108</v>
      </c>
      <c r="BC5" s="25" t="s">
        <v>109</v>
      </c>
      <c r="BD5" s="25"/>
      <c r="BE5" s="25"/>
      <c r="BF5" s="25"/>
      <c r="BG5" s="25"/>
      <c r="BH5" s="25"/>
      <c r="BI5" s="25"/>
      <c r="BJ5" s="25" t="s">
        <v>110</v>
      </c>
      <c r="BK5" s="26" t="s">
        <v>111</v>
      </c>
      <c r="BL5" s="27" t="s">
        <v>112</v>
      </c>
      <c r="BM5" s="10"/>
      <c r="BN5" s="28" t="str">
        <f>E5</f>
        <v>14+015 to 14+215</v>
      </c>
      <c r="BO5" s="28" t="str">
        <f>E5</f>
        <v>14+015 to 14+215</v>
      </c>
      <c r="BP5" s="28" t="str">
        <f>F5</f>
        <v>21+043 to 21+218</v>
      </c>
      <c r="BQ5" s="28" t="str">
        <f>J5</f>
        <v>41+364 to 41+444</v>
      </c>
      <c r="BR5" s="28" t="str">
        <f>K5</f>
        <v>45+210 to 45+255</v>
      </c>
      <c r="BS5" s="28" t="str">
        <f>D5</f>
        <v>9+767 to 9+907</v>
      </c>
      <c r="BT5" s="28" t="str">
        <f>G5</f>
        <v>21+683 to 21+713</v>
      </c>
      <c r="BU5" s="28" t="str">
        <f>J5</f>
        <v>41+364 to 41+444</v>
      </c>
    </row>
    <row r="6" spans="1:73" s="40" customFormat="1" ht="15.75" x14ac:dyDescent="0.25">
      <c r="A6" s="30" t="s">
        <v>113</v>
      </c>
      <c r="B6" s="31" t="s">
        <v>114</v>
      </c>
      <c r="C6" s="32" t="s">
        <v>115</v>
      </c>
      <c r="D6" s="33">
        <v>252</v>
      </c>
      <c r="E6" s="33">
        <v>262.14481887417389</v>
      </c>
      <c r="F6" s="33">
        <v>356.24000422946898</v>
      </c>
      <c r="G6" s="33">
        <v>1317.1305279347919</v>
      </c>
      <c r="H6" s="33">
        <v>252</v>
      </c>
      <c r="I6" s="33">
        <v>523.09117448948268</v>
      </c>
      <c r="J6" s="33">
        <v>252</v>
      </c>
      <c r="K6" s="33">
        <v>353.48974653370539</v>
      </c>
      <c r="L6" s="33">
        <v>252</v>
      </c>
      <c r="M6" s="33">
        <v>1965.6000000000001</v>
      </c>
      <c r="N6" s="33">
        <v>982.80000000000007</v>
      </c>
      <c r="O6" s="33">
        <v>2394</v>
      </c>
      <c r="P6" s="33">
        <v>262.14481887417389</v>
      </c>
      <c r="Q6" s="33">
        <v>327.60000000000002</v>
      </c>
      <c r="R6" s="33">
        <v>655.20000000000005</v>
      </c>
      <c r="S6" s="33">
        <v>655.20000000000005</v>
      </c>
      <c r="T6" s="33">
        <v>1033.2</v>
      </c>
      <c r="U6" s="33">
        <v>252</v>
      </c>
      <c r="V6" s="33">
        <v>1033.2</v>
      </c>
      <c r="W6" s="33">
        <v>982.80000000000007</v>
      </c>
      <c r="X6" s="33">
        <v>330.81622258396806</v>
      </c>
      <c r="Y6" s="33">
        <v>378</v>
      </c>
      <c r="Z6" s="33">
        <v>282.79179722696432</v>
      </c>
      <c r="AA6" s="33">
        <v>1430.7557734930779</v>
      </c>
      <c r="AB6" s="33">
        <v>655.20000000000005</v>
      </c>
      <c r="AC6" s="33">
        <v>262.14481887417389</v>
      </c>
      <c r="AD6" s="34">
        <v>89.6</v>
      </c>
      <c r="AE6" s="34">
        <v>89.6</v>
      </c>
      <c r="AF6" s="34">
        <v>89.6</v>
      </c>
      <c r="AG6" s="34">
        <v>89.6</v>
      </c>
      <c r="AH6" s="34">
        <v>268.79999999999995</v>
      </c>
      <c r="AI6" s="34">
        <v>268.79999999999995</v>
      </c>
      <c r="AJ6" s="34">
        <v>268.79999999999995</v>
      </c>
      <c r="AK6" s="34">
        <v>268.79999999999995</v>
      </c>
      <c r="AL6" s="34">
        <v>268.79999999999995</v>
      </c>
      <c r="AM6" s="34">
        <v>268.79999999999995</v>
      </c>
      <c r="AN6" s="34">
        <v>89.6</v>
      </c>
      <c r="AO6" s="34">
        <v>89.6</v>
      </c>
      <c r="AP6" s="34">
        <v>89.6</v>
      </c>
      <c r="AQ6" s="34">
        <v>89.6</v>
      </c>
      <c r="AR6" s="34">
        <v>89.6</v>
      </c>
      <c r="AS6" s="34">
        <v>89.6</v>
      </c>
      <c r="AT6" s="34">
        <v>89.6</v>
      </c>
      <c r="AU6" s="34">
        <v>89.6</v>
      </c>
      <c r="AV6" s="34">
        <v>179.2</v>
      </c>
      <c r="AW6" s="34">
        <v>124</v>
      </c>
      <c r="AX6" s="34">
        <v>89.6</v>
      </c>
      <c r="AY6" s="34">
        <v>89.6</v>
      </c>
      <c r="AZ6" s="34">
        <v>89.6</v>
      </c>
      <c r="BA6" s="34">
        <v>89.6</v>
      </c>
      <c r="BB6" s="34">
        <v>89.6</v>
      </c>
      <c r="BC6" s="34">
        <v>179.2</v>
      </c>
      <c r="BD6" s="34"/>
      <c r="BE6" s="34"/>
      <c r="BF6" s="34"/>
      <c r="BG6" s="34"/>
      <c r="BH6" s="34"/>
      <c r="BI6" s="34"/>
      <c r="BJ6" s="35">
        <f>ROUND(SUM(D6:BI6)*BM6,0)</f>
        <v>22388</v>
      </c>
      <c r="BK6" s="36">
        <v>359.83</v>
      </c>
      <c r="BL6" s="37">
        <f>ROUND(BK6*BJ6,0)</f>
        <v>8055874</v>
      </c>
      <c r="BM6" s="38">
        <v>1.05</v>
      </c>
      <c r="BN6" s="39">
        <f t="shared" ref="BN6:BN12" si="0">ROUND((E6*BM6),0)*BK6</f>
        <v>98953.25</v>
      </c>
      <c r="BO6" s="39">
        <f t="shared" ref="BO6:BO12" si="1">ROUND((E6*BM6),0)*BK6</f>
        <v>98953.25</v>
      </c>
      <c r="BP6" s="39">
        <f t="shared" ref="BP6:BP12" si="2">ROUND((F6*BM6),0)*BK6</f>
        <v>134576.41999999998</v>
      </c>
      <c r="BQ6" s="39">
        <f t="shared" ref="BQ6:BQ12" si="3">ROUND((J6*BM6),0)*BK6</f>
        <v>95354.95</v>
      </c>
      <c r="BR6" s="39">
        <f t="shared" ref="BR6:BR12" si="4">ROUND((K6*BM6),0)*BK6</f>
        <v>133496.93</v>
      </c>
      <c r="BS6" s="39">
        <f t="shared" ref="BS6:BS12" si="5">ROUND((D6*BM6),0)*BK6</f>
        <v>95354.95</v>
      </c>
      <c r="BT6" s="39">
        <f t="shared" ref="BT6:BT12" si="6">ROUND((G6*BM6),0)*BK6</f>
        <v>497644.88999999996</v>
      </c>
      <c r="BU6" s="39">
        <f t="shared" ref="BU6:BU12" si="7">ROUND((J6*BM6),0)*BK6</f>
        <v>95354.95</v>
      </c>
    </row>
    <row r="7" spans="1:73" s="40" customFormat="1" ht="15.75" x14ac:dyDescent="0.25">
      <c r="A7" s="30" t="s">
        <v>116</v>
      </c>
      <c r="B7" s="31" t="s">
        <v>117</v>
      </c>
      <c r="C7" s="32" t="s">
        <v>115</v>
      </c>
      <c r="D7" s="32">
        <v>315</v>
      </c>
      <c r="E7" s="32">
        <v>327.68102359271734</v>
      </c>
      <c r="F7" s="32">
        <v>445.30000528683621</v>
      </c>
      <c r="G7" s="32">
        <v>987.84789595109396</v>
      </c>
      <c r="H7" s="32">
        <v>315</v>
      </c>
      <c r="I7" s="32">
        <v>732.32764428527582</v>
      </c>
      <c r="J7" s="32">
        <v>315</v>
      </c>
      <c r="K7" s="32">
        <v>494.88564514718757</v>
      </c>
      <c r="L7" s="32">
        <v>315</v>
      </c>
      <c r="M7" s="32">
        <v>315</v>
      </c>
      <c r="N7" s="32">
        <v>315</v>
      </c>
      <c r="O7" s="32">
        <v>567</v>
      </c>
      <c r="P7" s="32">
        <v>315</v>
      </c>
      <c r="Q7" s="32">
        <v>315</v>
      </c>
      <c r="R7" s="32">
        <v>315</v>
      </c>
      <c r="S7" s="32">
        <v>315</v>
      </c>
      <c r="T7" s="32">
        <v>441</v>
      </c>
      <c r="U7" s="32">
        <v>315</v>
      </c>
      <c r="V7" s="32">
        <v>441</v>
      </c>
      <c r="W7" s="32">
        <v>315</v>
      </c>
      <c r="X7" s="32">
        <v>318.09252171535388</v>
      </c>
      <c r="Y7" s="32">
        <v>315</v>
      </c>
      <c r="Z7" s="32">
        <v>353.48974653370539</v>
      </c>
      <c r="AA7" s="32">
        <v>463.67085252090487</v>
      </c>
      <c r="AB7" s="32">
        <v>315</v>
      </c>
      <c r="AC7" s="32">
        <v>327.68102359271734</v>
      </c>
      <c r="AD7" s="34">
        <v>112</v>
      </c>
      <c r="AE7" s="34">
        <v>112</v>
      </c>
      <c r="AF7" s="34">
        <v>112</v>
      </c>
      <c r="AG7" s="34">
        <v>112</v>
      </c>
      <c r="AH7" s="34">
        <v>201.6</v>
      </c>
      <c r="AI7" s="34">
        <v>201.6</v>
      </c>
      <c r="AJ7" s="34">
        <v>201.6</v>
      </c>
      <c r="AK7" s="34">
        <v>201.6</v>
      </c>
      <c r="AL7" s="34">
        <v>201.6</v>
      </c>
      <c r="AM7" s="34">
        <v>201.6</v>
      </c>
      <c r="AN7" s="34">
        <v>112</v>
      </c>
      <c r="AO7" s="34">
        <v>112</v>
      </c>
      <c r="AP7" s="34">
        <v>112</v>
      </c>
      <c r="AQ7" s="34">
        <v>112</v>
      </c>
      <c r="AR7" s="34">
        <v>112</v>
      </c>
      <c r="AS7" s="34">
        <v>112</v>
      </c>
      <c r="AT7" s="34">
        <v>112</v>
      </c>
      <c r="AU7" s="34">
        <v>112</v>
      </c>
      <c r="AV7" s="34">
        <v>224</v>
      </c>
      <c r="AW7" s="34">
        <v>155</v>
      </c>
      <c r="AX7" s="34">
        <v>112</v>
      </c>
      <c r="AY7" s="34">
        <v>112</v>
      </c>
      <c r="AZ7" s="34">
        <v>112</v>
      </c>
      <c r="BA7" s="34">
        <v>112</v>
      </c>
      <c r="BB7" s="34">
        <v>112</v>
      </c>
      <c r="BC7" s="34">
        <v>224</v>
      </c>
      <c r="BD7" s="34"/>
      <c r="BE7" s="34"/>
      <c r="BF7" s="34"/>
      <c r="BG7" s="34"/>
      <c r="BH7" s="34"/>
      <c r="BI7" s="34"/>
      <c r="BJ7" s="35">
        <f>ROUND(SUM(D7:BI7)*BM7,0)</f>
        <v>15429</v>
      </c>
      <c r="BK7" s="36">
        <v>1866.91</v>
      </c>
      <c r="BL7" s="37">
        <f>ROUND(BK7*BJ7,0)</f>
        <v>28804554</v>
      </c>
      <c r="BM7" s="38">
        <v>1.1000000000000001</v>
      </c>
      <c r="BN7" s="39">
        <f t="shared" si="0"/>
        <v>672087.6</v>
      </c>
      <c r="BO7" s="39">
        <f t="shared" si="1"/>
        <v>672087.6</v>
      </c>
      <c r="BP7" s="39">
        <f t="shared" si="2"/>
        <v>914785.9</v>
      </c>
      <c r="BQ7" s="39">
        <f t="shared" si="3"/>
        <v>647817.77</v>
      </c>
      <c r="BR7" s="39">
        <f t="shared" si="4"/>
        <v>1015599.04</v>
      </c>
      <c r="BS7" s="39">
        <f t="shared" si="5"/>
        <v>647817.77</v>
      </c>
      <c r="BT7" s="39">
        <f t="shared" si="6"/>
        <v>2029331.1700000002</v>
      </c>
      <c r="BU7" s="39">
        <f t="shared" si="7"/>
        <v>647817.77</v>
      </c>
    </row>
    <row r="8" spans="1:73" s="40" customFormat="1" ht="15.75" x14ac:dyDescent="0.25">
      <c r="A8" s="30" t="s">
        <v>118</v>
      </c>
      <c r="B8" s="31" t="s">
        <v>119</v>
      </c>
      <c r="C8" s="32" t="s">
        <v>115</v>
      </c>
      <c r="D8" s="32">
        <v>567</v>
      </c>
      <c r="E8" s="32">
        <v>983.04307077815213</v>
      </c>
      <c r="F8" s="32">
        <v>801.54000951630519</v>
      </c>
      <c r="G8" s="32">
        <v>1481.7718439266409</v>
      </c>
      <c r="H8" s="32">
        <v>567</v>
      </c>
      <c r="I8" s="32">
        <v>941.56411408106885</v>
      </c>
      <c r="J8" s="32">
        <v>567</v>
      </c>
      <c r="K8" s="32">
        <v>636.28154376066971</v>
      </c>
      <c r="L8" s="32">
        <v>567</v>
      </c>
      <c r="M8" s="32">
        <v>567</v>
      </c>
      <c r="N8" s="32">
        <v>819</v>
      </c>
      <c r="O8" s="32">
        <v>819</v>
      </c>
      <c r="P8" s="32">
        <v>441</v>
      </c>
      <c r="Q8" s="32">
        <v>567</v>
      </c>
      <c r="R8" s="32">
        <v>441</v>
      </c>
      <c r="S8" s="32">
        <v>441</v>
      </c>
      <c r="T8" s="32">
        <v>567</v>
      </c>
      <c r="U8" s="32">
        <v>441</v>
      </c>
      <c r="V8" s="32">
        <v>567</v>
      </c>
      <c r="W8" s="32">
        <v>504</v>
      </c>
      <c r="X8" s="32">
        <v>572.56653908763701</v>
      </c>
      <c r="Y8" s="32">
        <v>504</v>
      </c>
      <c r="Z8" s="32">
        <v>636.28154376066971</v>
      </c>
      <c r="AA8" s="32">
        <v>596.14823895544919</v>
      </c>
      <c r="AB8" s="32">
        <v>567</v>
      </c>
      <c r="AC8" s="32">
        <v>851.97066134106512</v>
      </c>
      <c r="AD8" s="34">
        <v>156.79999999999998</v>
      </c>
      <c r="AE8" s="34">
        <v>156.79999999999998</v>
      </c>
      <c r="AF8" s="34">
        <v>156.79999999999998</v>
      </c>
      <c r="AG8" s="34">
        <v>156.79999999999998</v>
      </c>
      <c r="AH8" s="34">
        <v>246.39999999999998</v>
      </c>
      <c r="AI8" s="34">
        <v>246.39999999999998</v>
      </c>
      <c r="AJ8" s="34">
        <v>246.39999999999998</v>
      </c>
      <c r="AK8" s="34">
        <v>246.39999999999998</v>
      </c>
      <c r="AL8" s="34">
        <v>246.39999999999998</v>
      </c>
      <c r="AM8" s="34">
        <v>246.39999999999998</v>
      </c>
      <c r="AN8" s="34">
        <v>156.79999999999998</v>
      </c>
      <c r="AO8" s="34">
        <v>156.79999999999998</v>
      </c>
      <c r="AP8" s="34">
        <v>156.79999999999998</v>
      </c>
      <c r="AQ8" s="34">
        <v>156.79999999999998</v>
      </c>
      <c r="AR8" s="34">
        <v>156.79999999999998</v>
      </c>
      <c r="AS8" s="34">
        <v>156.79999999999998</v>
      </c>
      <c r="AT8" s="34">
        <v>156.79999999999998</v>
      </c>
      <c r="AU8" s="34">
        <v>156.79999999999998</v>
      </c>
      <c r="AV8" s="34">
        <v>313.59999999999997</v>
      </c>
      <c r="AW8" s="34">
        <v>217</v>
      </c>
      <c r="AX8" s="34">
        <v>156.79999999999998</v>
      </c>
      <c r="AY8" s="34">
        <v>156.79999999999998</v>
      </c>
      <c r="AZ8" s="34">
        <v>156.79999999999998</v>
      </c>
      <c r="BA8" s="34">
        <v>156.79999999999998</v>
      </c>
      <c r="BB8" s="34">
        <v>156.79999999999998</v>
      </c>
      <c r="BC8" s="34">
        <v>313.59999999999997</v>
      </c>
      <c r="BD8" s="34"/>
      <c r="BE8" s="34"/>
      <c r="BF8" s="34"/>
      <c r="BG8" s="34"/>
      <c r="BH8" s="34"/>
      <c r="BI8" s="34"/>
      <c r="BJ8" s="35">
        <f>ROUND(SUM(D8:BI8)*BM8,0)</f>
        <v>24203</v>
      </c>
      <c r="BK8" s="41">
        <v>246.37</v>
      </c>
      <c r="BL8" s="37">
        <f>ROUND(BK8*BJ8,0)</f>
        <v>5962893</v>
      </c>
      <c r="BM8" s="38">
        <v>1.1000000000000001</v>
      </c>
      <c r="BN8" s="39">
        <f t="shared" si="0"/>
        <v>266325.97000000003</v>
      </c>
      <c r="BO8" s="39">
        <f t="shared" si="1"/>
        <v>266325.97000000003</v>
      </c>
      <c r="BP8" s="39">
        <f t="shared" si="2"/>
        <v>217298.34</v>
      </c>
      <c r="BQ8" s="39">
        <f t="shared" si="3"/>
        <v>153734.88</v>
      </c>
      <c r="BR8" s="39">
        <f t="shared" si="4"/>
        <v>172459</v>
      </c>
      <c r="BS8" s="39">
        <f t="shared" si="5"/>
        <v>153734.88</v>
      </c>
      <c r="BT8" s="39">
        <f t="shared" si="6"/>
        <v>401583.10000000003</v>
      </c>
      <c r="BU8" s="39">
        <f t="shared" si="7"/>
        <v>153734.88</v>
      </c>
    </row>
    <row r="9" spans="1:73" s="40" customFormat="1" ht="31.5" x14ac:dyDescent="0.25">
      <c r="A9" s="42"/>
      <c r="B9" s="43" t="s">
        <v>120</v>
      </c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5"/>
      <c r="BK9" s="41"/>
      <c r="BL9" s="37"/>
      <c r="BM9" s="38"/>
      <c r="BN9" s="39">
        <f t="shared" si="0"/>
        <v>0</v>
      </c>
      <c r="BO9" s="39">
        <f t="shared" si="1"/>
        <v>0</v>
      </c>
      <c r="BP9" s="39">
        <f t="shared" si="2"/>
        <v>0</v>
      </c>
      <c r="BQ9" s="39">
        <f t="shared" si="3"/>
        <v>0</v>
      </c>
      <c r="BR9" s="39">
        <f t="shared" si="4"/>
        <v>0</v>
      </c>
      <c r="BS9" s="39">
        <f t="shared" si="5"/>
        <v>0</v>
      </c>
      <c r="BT9" s="39">
        <f t="shared" si="6"/>
        <v>0</v>
      </c>
      <c r="BU9" s="39">
        <f t="shared" si="7"/>
        <v>0</v>
      </c>
    </row>
    <row r="10" spans="1:73" s="46" customFormat="1" ht="15.75" x14ac:dyDescent="0.25">
      <c r="A10" s="30" t="s">
        <v>121</v>
      </c>
      <c r="B10" s="44" t="s">
        <v>122</v>
      </c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5"/>
      <c r="BK10" s="45"/>
      <c r="BL10" s="37"/>
      <c r="BM10" s="38"/>
      <c r="BN10" s="39">
        <f t="shared" si="0"/>
        <v>0</v>
      </c>
      <c r="BO10" s="39">
        <f t="shared" si="1"/>
        <v>0</v>
      </c>
      <c r="BP10" s="39">
        <f t="shared" si="2"/>
        <v>0</v>
      </c>
      <c r="BQ10" s="39">
        <f t="shared" si="3"/>
        <v>0</v>
      </c>
      <c r="BR10" s="39">
        <f t="shared" si="4"/>
        <v>0</v>
      </c>
      <c r="BS10" s="39">
        <f t="shared" si="5"/>
        <v>0</v>
      </c>
      <c r="BT10" s="39">
        <f t="shared" si="6"/>
        <v>0</v>
      </c>
      <c r="BU10" s="39">
        <f t="shared" si="7"/>
        <v>0</v>
      </c>
    </row>
    <row r="11" spans="1:73" s="46" customFormat="1" ht="31.5" x14ac:dyDescent="0.25">
      <c r="A11" s="47" t="s">
        <v>123</v>
      </c>
      <c r="B11" s="48" t="s">
        <v>124</v>
      </c>
      <c r="C11" s="32" t="s">
        <v>125</v>
      </c>
      <c r="D11" s="32">
        <v>30</v>
      </c>
      <c r="E11" s="32">
        <v>32.5</v>
      </c>
      <c r="F11" s="32">
        <v>30</v>
      </c>
      <c r="G11" s="32">
        <v>15</v>
      </c>
      <c r="H11" s="32">
        <v>90</v>
      </c>
      <c r="I11" s="32">
        <v>15</v>
      </c>
      <c r="J11" s="32">
        <v>30</v>
      </c>
      <c r="K11" s="32">
        <v>15</v>
      </c>
      <c r="L11" s="32">
        <v>30</v>
      </c>
      <c r="M11" s="32">
        <v>30</v>
      </c>
      <c r="N11" s="32">
        <v>30</v>
      </c>
      <c r="O11" s="32">
        <v>32.5</v>
      </c>
      <c r="P11" s="32">
        <v>30</v>
      </c>
      <c r="Q11" s="32">
        <v>30</v>
      </c>
      <c r="R11" s="32">
        <v>30</v>
      </c>
      <c r="S11" s="32">
        <v>30</v>
      </c>
      <c r="T11" s="32">
        <v>30</v>
      </c>
      <c r="U11" s="32">
        <v>30</v>
      </c>
      <c r="V11" s="32">
        <v>30</v>
      </c>
      <c r="W11" s="32">
        <v>30</v>
      </c>
      <c r="X11" s="32">
        <v>30</v>
      </c>
      <c r="Y11" s="32">
        <v>30</v>
      </c>
      <c r="Z11" s="32">
        <v>30</v>
      </c>
      <c r="AA11" s="32">
        <v>30</v>
      </c>
      <c r="AB11" s="32">
        <v>30</v>
      </c>
      <c r="AC11" s="32">
        <v>30</v>
      </c>
      <c r="AD11" s="34">
        <v>25</v>
      </c>
      <c r="AE11" s="34">
        <v>25</v>
      </c>
      <c r="AF11" s="34">
        <v>25</v>
      </c>
      <c r="AG11" s="34">
        <v>25</v>
      </c>
      <c r="AH11" s="34">
        <v>28</v>
      </c>
      <c r="AI11" s="34">
        <v>28</v>
      </c>
      <c r="AJ11" s="34">
        <v>28</v>
      </c>
      <c r="AK11" s="34">
        <v>28</v>
      </c>
      <c r="AL11" s="34">
        <v>28</v>
      </c>
      <c r="AM11" s="34">
        <v>28</v>
      </c>
      <c r="AN11" s="34">
        <v>25</v>
      </c>
      <c r="AO11" s="34">
        <v>25</v>
      </c>
      <c r="AP11" s="34">
        <v>25</v>
      </c>
      <c r="AQ11" s="34">
        <v>25</v>
      </c>
      <c r="AR11" s="34">
        <v>25</v>
      </c>
      <c r="AS11" s="34">
        <v>25</v>
      </c>
      <c r="AT11" s="34">
        <v>25</v>
      </c>
      <c r="AU11" s="34">
        <v>25</v>
      </c>
      <c r="AV11" s="34">
        <v>28</v>
      </c>
      <c r="AW11" s="34">
        <v>30</v>
      </c>
      <c r="AX11" s="34">
        <v>25</v>
      </c>
      <c r="AY11" s="34">
        <v>25</v>
      </c>
      <c r="AZ11" s="34">
        <v>25</v>
      </c>
      <c r="BA11" s="34">
        <v>25</v>
      </c>
      <c r="BB11" s="34">
        <v>25</v>
      </c>
      <c r="BC11" s="34">
        <v>28</v>
      </c>
      <c r="BD11" s="34"/>
      <c r="BE11" s="34"/>
      <c r="BF11" s="34"/>
      <c r="BG11" s="34"/>
      <c r="BH11" s="34"/>
      <c r="BI11" s="34"/>
      <c r="BJ11" s="35">
        <f>ROUND(SUM(D11:BI11)*BM11,0)</f>
        <v>1553</v>
      </c>
      <c r="BK11" s="45">
        <v>12111.73</v>
      </c>
      <c r="BL11" s="37">
        <f>ROUND(BK11*BJ11,0)</f>
        <v>18809517</v>
      </c>
      <c r="BM11" s="38">
        <v>1.05</v>
      </c>
      <c r="BN11" s="39">
        <f t="shared" si="0"/>
        <v>411798.82</v>
      </c>
      <c r="BO11" s="39">
        <f t="shared" si="1"/>
        <v>411798.82</v>
      </c>
      <c r="BP11" s="39">
        <f t="shared" si="2"/>
        <v>387575.36</v>
      </c>
      <c r="BQ11" s="39">
        <f t="shared" si="3"/>
        <v>387575.36</v>
      </c>
      <c r="BR11" s="39">
        <f t="shared" si="4"/>
        <v>193787.68</v>
      </c>
      <c r="BS11" s="39">
        <f t="shared" si="5"/>
        <v>387575.36</v>
      </c>
      <c r="BT11" s="39">
        <f t="shared" si="6"/>
        <v>193787.68</v>
      </c>
      <c r="BU11" s="39">
        <f t="shared" si="7"/>
        <v>387575.36</v>
      </c>
    </row>
    <row r="12" spans="1:73" s="46" customFormat="1" ht="31.5" x14ac:dyDescent="0.25">
      <c r="A12" s="47" t="s">
        <v>126</v>
      </c>
      <c r="B12" s="48" t="s">
        <v>127</v>
      </c>
      <c r="C12" s="32" t="s">
        <v>125</v>
      </c>
      <c r="D12" s="32">
        <v>30</v>
      </c>
      <c r="E12" s="32">
        <v>32.5</v>
      </c>
      <c r="F12" s="32">
        <v>30</v>
      </c>
      <c r="G12" s="32">
        <v>15</v>
      </c>
      <c r="H12" s="32">
        <v>90</v>
      </c>
      <c r="I12" s="32">
        <v>15</v>
      </c>
      <c r="J12" s="32">
        <v>30</v>
      </c>
      <c r="K12" s="32">
        <v>15</v>
      </c>
      <c r="L12" s="32">
        <v>30</v>
      </c>
      <c r="M12" s="32">
        <v>30</v>
      </c>
      <c r="N12" s="32">
        <v>30</v>
      </c>
      <c r="O12" s="32">
        <v>32.5</v>
      </c>
      <c r="P12" s="32">
        <v>30</v>
      </c>
      <c r="Q12" s="32">
        <v>30</v>
      </c>
      <c r="R12" s="32">
        <v>30</v>
      </c>
      <c r="S12" s="32">
        <v>30</v>
      </c>
      <c r="T12" s="32">
        <v>30</v>
      </c>
      <c r="U12" s="32">
        <v>30</v>
      </c>
      <c r="V12" s="32">
        <v>30</v>
      </c>
      <c r="W12" s="32">
        <v>30</v>
      </c>
      <c r="X12" s="32">
        <v>30</v>
      </c>
      <c r="Y12" s="32">
        <v>30</v>
      </c>
      <c r="Z12" s="32">
        <v>30</v>
      </c>
      <c r="AA12" s="32">
        <v>30</v>
      </c>
      <c r="AB12" s="32">
        <v>30</v>
      </c>
      <c r="AC12" s="32">
        <v>30</v>
      </c>
      <c r="AD12" s="34">
        <v>25</v>
      </c>
      <c r="AE12" s="34">
        <v>25</v>
      </c>
      <c r="AF12" s="34">
        <v>25</v>
      </c>
      <c r="AG12" s="34">
        <v>25</v>
      </c>
      <c r="AH12" s="34">
        <v>28</v>
      </c>
      <c r="AI12" s="34">
        <v>28</v>
      </c>
      <c r="AJ12" s="34">
        <v>28</v>
      </c>
      <c r="AK12" s="34">
        <v>28</v>
      </c>
      <c r="AL12" s="34">
        <v>28</v>
      </c>
      <c r="AM12" s="34">
        <v>28</v>
      </c>
      <c r="AN12" s="34">
        <v>25</v>
      </c>
      <c r="AO12" s="34">
        <v>25</v>
      </c>
      <c r="AP12" s="34">
        <v>25</v>
      </c>
      <c r="AQ12" s="34">
        <v>25</v>
      </c>
      <c r="AR12" s="34">
        <v>25</v>
      </c>
      <c r="AS12" s="34">
        <v>25</v>
      </c>
      <c r="AT12" s="34">
        <v>25</v>
      </c>
      <c r="AU12" s="34">
        <v>25</v>
      </c>
      <c r="AV12" s="34">
        <v>28</v>
      </c>
      <c r="AW12" s="34">
        <v>30</v>
      </c>
      <c r="AX12" s="34">
        <v>25</v>
      </c>
      <c r="AY12" s="34">
        <v>25</v>
      </c>
      <c r="AZ12" s="34">
        <v>25</v>
      </c>
      <c r="BA12" s="34">
        <v>25</v>
      </c>
      <c r="BB12" s="34">
        <v>25</v>
      </c>
      <c r="BC12" s="34">
        <v>28</v>
      </c>
      <c r="BD12" s="34"/>
      <c r="BE12" s="34"/>
      <c r="BF12" s="34"/>
      <c r="BG12" s="34"/>
      <c r="BH12" s="34"/>
      <c r="BI12" s="34"/>
      <c r="BJ12" s="35">
        <f>ROUND(SUM(D12:BI12)*BM12,0)</f>
        <v>1553</v>
      </c>
      <c r="BK12" s="41">
        <v>19923.63</v>
      </c>
      <c r="BL12" s="37">
        <f>ROUND(BK12*BJ12,0)</f>
        <v>30941397</v>
      </c>
      <c r="BM12" s="38">
        <v>1.05</v>
      </c>
      <c r="BN12" s="39">
        <f t="shared" si="0"/>
        <v>677403.42</v>
      </c>
      <c r="BO12" s="39">
        <f t="shared" si="1"/>
        <v>677403.42</v>
      </c>
      <c r="BP12" s="39">
        <f t="shared" si="2"/>
        <v>637556.16</v>
      </c>
      <c r="BQ12" s="39">
        <f t="shared" si="3"/>
        <v>637556.16</v>
      </c>
      <c r="BR12" s="39">
        <f t="shared" si="4"/>
        <v>318778.08</v>
      </c>
      <c r="BS12" s="39">
        <f t="shared" si="5"/>
        <v>637556.16</v>
      </c>
      <c r="BT12" s="39">
        <f t="shared" si="6"/>
        <v>318778.08</v>
      </c>
      <c r="BU12" s="39">
        <f t="shared" si="7"/>
        <v>637556.16</v>
      </c>
    </row>
    <row r="13" spans="1:73" s="46" customFormat="1" ht="31.5" x14ac:dyDescent="0.25">
      <c r="A13" s="47" t="s">
        <v>128</v>
      </c>
      <c r="B13" s="48" t="s">
        <v>129</v>
      </c>
      <c r="C13" s="32" t="s">
        <v>125</v>
      </c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5">
        <f>ROUND(SUM(D13:BI13)*BM13,0)</f>
        <v>0</v>
      </c>
      <c r="BK13" s="41">
        <v>16668.669999999998</v>
      </c>
      <c r="BL13" s="37">
        <f>ROUND(BK13*BJ13,0)</f>
        <v>0</v>
      </c>
      <c r="BM13" s="38">
        <v>1.05</v>
      </c>
      <c r="BN13" s="39"/>
      <c r="BO13" s="39"/>
      <c r="BP13" s="39"/>
      <c r="BQ13" s="39"/>
      <c r="BR13" s="39"/>
      <c r="BS13" s="39"/>
      <c r="BT13" s="39"/>
      <c r="BU13" s="39"/>
    </row>
    <row r="14" spans="1:73" s="46" customFormat="1" ht="31.5" x14ac:dyDescent="0.25">
      <c r="A14" s="47" t="s">
        <v>130</v>
      </c>
      <c r="B14" s="48" t="s">
        <v>131</v>
      </c>
      <c r="C14" s="32" t="s">
        <v>125</v>
      </c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5">
        <f>ROUND(SUM(D14:BI14)*BM14,0)</f>
        <v>0</v>
      </c>
      <c r="BK14" s="41">
        <v>29688.5</v>
      </c>
      <c r="BL14" s="37">
        <f>ROUND(BK14*BJ14,0)</f>
        <v>0</v>
      </c>
      <c r="BM14" s="38">
        <v>1.05</v>
      </c>
      <c r="BN14" s="39"/>
      <c r="BO14" s="39"/>
      <c r="BP14" s="39"/>
      <c r="BQ14" s="39"/>
      <c r="BR14" s="39"/>
      <c r="BS14" s="39"/>
      <c r="BT14" s="39"/>
      <c r="BU14" s="39"/>
    </row>
    <row r="15" spans="1:73" s="46" customFormat="1" ht="15.75" x14ac:dyDescent="0.25">
      <c r="A15" s="47" t="s">
        <v>132</v>
      </c>
      <c r="B15" s="49" t="s">
        <v>133</v>
      </c>
      <c r="C15" s="32" t="s">
        <v>115</v>
      </c>
      <c r="D15" s="32">
        <v>67.823999999999984</v>
      </c>
      <c r="E15" s="32">
        <v>73.475999999999985</v>
      </c>
      <c r="F15" s="32">
        <v>67.823999999999984</v>
      </c>
      <c r="G15" s="32">
        <v>33.911999999999992</v>
      </c>
      <c r="H15" s="32">
        <v>203.47199999999995</v>
      </c>
      <c r="I15" s="32">
        <v>33.911999999999992</v>
      </c>
      <c r="J15" s="32">
        <v>67.823999999999984</v>
      </c>
      <c r="K15" s="32">
        <v>33.911999999999992</v>
      </c>
      <c r="L15" s="32">
        <v>67.823999999999984</v>
      </c>
      <c r="M15" s="32">
        <v>86.899499999999989</v>
      </c>
      <c r="N15" s="32">
        <v>67.823999999999984</v>
      </c>
      <c r="O15" s="32">
        <v>73.475999999999985</v>
      </c>
      <c r="P15" s="32">
        <v>67.823999999999984</v>
      </c>
      <c r="Q15" s="32">
        <v>67.823999999999984</v>
      </c>
      <c r="R15" s="32">
        <v>67.823999999999984</v>
      </c>
      <c r="S15" s="32">
        <v>67.823999999999984</v>
      </c>
      <c r="T15" s="32">
        <v>67.823999999999984</v>
      </c>
      <c r="U15" s="32">
        <v>67.823999999999984</v>
      </c>
      <c r="V15" s="32">
        <v>67.823999999999984</v>
      </c>
      <c r="W15" s="32">
        <v>86.899499999999989</v>
      </c>
      <c r="X15" s="32">
        <v>67.823999999999984</v>
      </c>
      <c r="Y15" s="32">
        <v>67.823999999999984</v>
      </c>
      <c r="Z15" s="32">
        <v>67.823999999999984</v>
      </c>
      <c r="AA15" s="32">
        <v>67.823999999999984</v>
      </c>
      <c r="AB15" s="32">
        <v>67.823999999999984</v>
      </c>
      <c r="AC15" s="32">
        <v>67.823999999999984</v>
      </c>
      <c r="AD15" s="34">
        <v>56.499999999999993</v>
      </c>
      <c r="AE15" s="34">
        <v>56.499999999999993</v>
      </c>
      <c r="AF15" s="34">
        <v>56.499999999999993</v>
      </c>
      <c r="AG15" s="34">
        <v>56.499999999999993</v>
      </c>
      <c r="AH15" s="34">
        <v>63.279999999999994</v>
      </c>
      <c r="AI15" s="34">
        <v>63.279999999999994</v>
      </c>
      <c r="AJ15" s="34">
        <v>63.279999999999994</v>
      </c>
      <c r="AK15" s="34">
        <v>63.279999999999994</v>
      </c>
      <c r="AL15" s="34">
        <v>63.279999999999994</v>
      </c>
      <c r="AM15" s="34">
        <v>63.279999999999994</v>
      </c>
      <c r="AN15" s="34">
        <v>56.499999999999993</v>
      </c>
      <c r="AO15" s="34">
        <v>56.499999999999993</v>
      </c>
      <c r="AP15" s="34">
        <v>56.499999999999993</v>
      </c>
      <c r="AQ15" s="34">
        <v>56.499999999999993</v>
      </c>
      <c r="AR15" s="34">
        <v>56.499999999999993</v>
      </c>
      <c r="AS15" s="34">
        <v>56.499999999999993</v>
      </c>
      <c r="AT15" s="34">
        <v>56.499999999999993</v>
      </c>
      <c r="AU15" s="34">
        <v>56.499999999999993</v>
      </c>
      <c r="AV15" s="34">
        <v>63.279999999999994</v>
      </c>
      <c r="AW15" s="34">
        <v>67.8</v>
      </c>
      <c r="AX15" s="34">
        <v>56.499999999999993</v>
      </c>
      <c r="AY15" s="34">
        <v>56.499999999999993</v>
      </c>
      <c r="AZ15" s="34">
        <v>56.499999999999993</v>
      </c>
      <c r="BA15" s="34">
        <v>56.499999999999993</v>
      </c>
      <c r="BB15" s="34">
        <v>56.499999999999993</v>
      </c>
      <c r="BC15" s="34">
        <v>63.279999999999994</v>
      </c>
      <c r="BD15" s="34"/>
      <c r="BE15" s="34"/>
      <c r="BF15" s="34"/>
      <c r="BG15" s="34"/>
      <c r="BH15" s="34"/>
      <c r="BI15" s="34"/>
      <c r="BJ15" s="35">
        <f>ROUND(SUM(D15:BI15)*BM15,0)</f>
        <v>3550</v>
      </c>
      <c r="BK15" s="41">
        <v>10625.83</v>
      </c>
      <c r="BL15" s="37">
        <f>ROUND(BK15*BJ15,0)</f>
        <v>37721697</v>
      </c>
      <c r="BM15" s="38">
        <v>1.05</v>
      </c>
      <c r="BN15" s="39">
        <f>ROUND((E15*BM15),0)*BK15</f>
        <v>818188.91</v>
      </c>
      <c r="BO15" s="39">
        <f>ROUND((E15*BM15),0)*BK15</f>
        <v>818188.91</v>
      </c>
      <c r="BP15" s="39">
        <f>ROUND((F15*BM15),0)*BK15</f>
        <v>754433.93</v>
      </c>
      <c r="BQ15" s="39">
        <f>ROUND((J15*BM15),0)*BK15</f>
        <v>754433.93</v>
      </c>
      <c r="BR15" s="39">
        <f>ROUND((K15*BM15),0)*BK15</f>
        <v>382529.88</v>
      </c>
      <c r="BS15" s="39">
        <f>ROUND((D15*BM15),0)*BK15</f>
        <v>754433.93</v>
      </c>
      <c r="BT15" s="39">
        <f>ROUND((G15*BM15),0)*BK15</f>
        <v>382529.88</v>
      </c>
      <c r="BU15" s="39">
        <f>ROUND((J15*BM15),0)*BK15</f>
        <v>754433.93</v>
      </c>
    </row>
    <row r="16" spans="1:73" s="46" customFormat="1" ht="15.75" x14ac:dyDescent="0.25">
      <c r="A16" s="50" t="s">
        <v>134</v>
      </c>
      <c r="B16" s="51" t="s">
        <v>135</v>
      </c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5"/>
      <c r="BK16" s="45"/>
      <c r="BL16" s="37"/>
      <c r="BM16" s="38"/>
      <c r="BN16" s="39">
        <f>ROUND((E16*BM16),0)*BK16</f>
        <v>0</v>
      </c>
      <c r="BO16" s="39">
        <f>ROUND((E16*BM16),0)*BK16</f>
        <v>0</v>
      </c>
      <c r="BP16" s="39">
        <f>ROUND((F16*BM16),0)*BK16</f>
        <v>0</v>
      </c>
      <c r="BQ16" s="39">
        <f>ROUND((J16*BM16),0)*BK16</f>
        <v>0</v>
      </c>
      <c r="BR16" s="39">
        <f>ROUND((K16*BM16),0)*BK16</f>
        <v>0</v>
      </c>
      <c r="BS16" s="39">
        <f>ROUND((D16*BM16),0)*BK16</f>
        <v>0</v>
      </c>
      <c r="BT16" s="39">
        <f>ROUND((G16*BM16),0)*BK16</f>
        <v>0</v>
      </c>
      <c r="BU16" s="39">
        <f>ROUND((J16*BM16),0)*BK16</f>
        <v>0</v>
      </c>
    </row>
    <row r="17" spans="1:73" s="46" customFormat="1" ht="31.5" x14ac:dyDescent="0.25">
      <c r="A17" s="47" t="s">
        <v>123</v>
      </c>
      <c r="B17" s="48" t="s">
        <v>124</v>
      </c>
      <c r="C17" s="32" t="s">
        <v>125</v>
      </c>
      <c r="D17" s="32">
        <v>960</v>
      </c>
      <c r="E17" s="32">
        <v>830</v>
      </c>
      <c r="F17" s="32">
        <v>720</v>
      </c>
      <c r="G17" s="32">
        <v>600</v>
      </c>
      <c r="H17" s="32">
        <v>8520</v>
      </c>
      <c r="I17" s="32">
        <v>300</v>
      </c>
      <c r="J17" s="32">
        <v>360</v>
      </c>
      <c r="K17" s="32">
        <v>300</v>
      </c>
      <c r="L17" s="32">
        <v>360</v>
      </c>
      <c r="M17" s="32">
        <v>2280</v>
      </c>
      <c r="N17" s="32">
        <v>1440</v>
      </c>
      <c r="O17" s="32">
        <v>2200</v>
      </c>
      <c r="P17" s="32">
        <v>720</v>
      </c>
      <c r="Q17" s="32">
        <v>600</v>
      </c>
      <c r="R17" s="32">
        <v>540</v>
      </c>
      <c r="S17" s="32">
        <v>360</v>
      </c>
      <c r="T17" s="32">
        <v>960</v>
      </c>
      <c r="U17" s="32">
        <v>360</v>
      </c>
      <c r="V17" s="32">
        <v>960</v>
      </c>
      <c r="W17" s="32">
        <v>1740</v>
      </c>
      <c r="X17" s="32">
        <v>780</v>
      </c>
      <c r="Y17" s="32">
        <v>840</v>
      </c>
      <c r="Z17" s="32">
        <v>720</v>
      </c>
      <c r="AA17" s="32">
        <v>1680</v>
      </c>
      <c r="AB17" s="32">
        <v>1080</v>
      </c>
      <c r="AC17" s="32">
        <v>780</v>
      </c>
      <c r="AD17" s="34">
        <v>75</v>
      </c>
      <c r="AE17" s="34">
        <v>75</v>
      </c>
      <c r="AF17" s="34">
        <v>75</v>
      </c>
      <c r="AG17" s="34">
        <v>75</v>
      </c>
      <c r="AH17" s="34">
        <v>224</v>
      </c>
      <c r="AI17" s="34">
        <v>224</v>
      </c>
      <c r="AJ17" s="34">
        <v>224</v>
      </c>
      <c r="AK17" s="34">
        <v>224</v>
      </c>
      <c r="AL17" s="34">
        <v>224</v>
      </c>
      <c r="AM17" s="34">
        <v>224</v>
      </c>
      <c r="AN17" s="34">
        <v>75</v>
      </c>
      <c r="AO17" s="34">
        <v>75</v>
      </c>
      <c r="AP17" s="34">
        <v>75</v>
      </c>
      <c r="AQ17" s="34">
        <v>75</v>
      </c>
      <c r="AR17" s="34">
        <v>75</v>
      </c>
      <c r="AS17" s="34">
        <v>75</v>
      </c>
      <c r="AT17" s="34">
        <v>75</v>
      </c>
      <c r="AU17" s="34">
        <v>75</v>
      </c>
      <c r="AV17" s="34">
        <v>168</v>
      </c>
      <c r="AW17" s="34">
        <v>90</v>
      </c>
      <c r="AX17" s="34">
        <v>75</v>
      </c>
      <c r="AY17" s="34">
        <v>75</v>
      </c>
      <c r="AZ17" s="34">
        <v>75</v>
      </c>
      <c r="BA17" s="34">
        <v>75</v>
      </c>
      <c r="BB17" s="34">
        <v>75</v>
      </c>
      <c r="BC17" s="34">
        <v>168</v>
      </c>
      <c r="BD17" s="34"/>
      <c r="BE17" s="34"/>
      <c r="BF17" s="34"/>
      <c r="BG17" s="34"/>
      <c r="BH17" s="34"/>
      <c r="BI17" s="34"/>
      <c r="BJ17" s="35">
        <f t="shared" ref="BJ17:BJ54" si="8">ROUND(SUM(D17:BI17)*BM17,0)</f>
        <v>35737</v>
      </c>
      <c r="BK17" s="45">
        <v>12111.73</v>
      </c>
      <c r="BL17" s="37">
        <f t="shared" ref="BL17:BL54" si="9">ROUND(BK17*BJ17,0)</f>
        <v>432836895</v>
      </c>
      <c r="BM17" s="38">
        <v>1.05</v>
      </c>
      <c r="BN17" s="39">
        <f>ROUND((E17*BM17),0)*BK17</f>
        <v>10561428.560000001</v>
      </c>
      <c r="BO17" s="39">
        <f>ROUND((E17*BM17),0)*BK17</f>
        <v>10561428.560000001</v>
      </c>
      <c r="BP17" s="39">
        <f>ROUND((F17*BM17),0)*BK17</f>
        <v>9156467.879999999</v>
      </c>
      <c r="BQ17" s="39">
        <f>ROUND((J17*BM17),0)*BK17</f>
        <v>4578233.9399999995</v>
      </c>
      <c r="BR17" s="39">
        <f>ROUND((K17*BM17),0)*BK17</f>
        <v>3815194.9499999997</v>
      </c>
      <c r="BS17" s="39">
        <f>ROUND((D17*BM17),0)*BK17</f>
        <v>12208623.84</v>
      </c>
      <c r="BT17" s="39">
        <f>ROUND((G17*BM17),0)*BK17</f>
        <v>7630389.8999999994</v>
      </c>
      <c r="BU17" s="39">
        <f>ROUND((J17*BM17),0)*BK17</f>
        <v>4578233.9399999995</v>
      </c>
    </row>
    <row r="18" spans="1:73" s="46" customFormat="1" ht="31.5" x14ac:dyDescent="0.25">
      <c r="A18" s="47" t="s">
        <v>126</v>
      </c>
      <c r="B18" s="48" t="s">
        <v>127</v>
      </c>
      <c r="C18" s="32" t="s">
        <v>125</v>
      </c>
      <c r="D18" s="32">
        <v>960</v>
      </c>
      <c r="E18" s="32">
        <v>830</v>
      </c>
      <c r="F18" s="32">
        <v>720</v>
      </c>
      <c r="G18" s="32">
        <v>600</v>
      </c>
      <c r="H18" s="32">
        <v>8520</v>
      </c>
      <c r="I18" s="32">
        <v>300</v>
      </c>
      <c r="J18" s="32">
        <v>360</v>
      </c>
      <c r="K18" s="32">
        <v>300</v>
      </c>
      <c r="L18" s="32">
        <v>360</v>
      </c>
      <c r="M18" s="32">
        <v>2280</v>
      </c>
      <c r="N18" s="32">
        <v>1440</v>
      </c>
      <c r="O18" s="32">
        <v>2200</v>
      </c>
      <c r="P18" s="32">
        <v>720</v>
      </c>
      <c r="Q18" s="32">
        <v>600</v>
      </c>
      <c r="R18" s="32">
        <v>540</v>
      </c>
      <c r="S18" s="32">
        <v>360</v>
      </c>
      <c r="T18" s="32">
        <v>960</v>
      </c>
      <c r="U18" s="32">
        <v>360</v>
      </c>
      <c r="V18" s="32">
        <v>960</v>
      </c>
      <c r="W18" s="32">
        <v>1740</v>
      </c>
      <c r="X18" s="32">
        <v>780</v>
      </c>
      <c r="Y18" s="32">
        <v>840</v>
      </c>
      <c r="Z18" s="32">
        <v>720</v>
      </c>
      <c r="AA18" s="32">
        <v>1680</v>
      </c>
      <c r="AB18" s="32">
        <v>1080</v>
      </c>
      <c r="AC18" s="32">
        <v>780</v>
      </c>
      <c r="AD18" s="34">
        <v>112.5</v>
      </c>
      <c r="AE18" s="34">
        <v>112.5</v>
      </c>
      <c r="AF18" s="34">
        <v>112.5</v>
      </c>
      <c r="AG18" s="34">
        <v>112.5</v>
      </c>
      <c r="AH18" s="34">
        <v>266</v>
      </c>
      <c r="AI18" s="34">
        <v>266</v>
      </c>
      <c r="AJ18" s="34">
        <v>266</v>
      </c>
      <c r="AK18" s="34">
        <v>266</v>
      </c>
      <c r="AL18" s="34">
        <v>266</v>
      </c>
      <c r="AM18" s="34">
        <v>266</v>
      </c>
      <c r="AN18" s="34">
        <v>112.5</v>
      </c>
      <c r="AO18" s="34">
        <v>112.5</v>
      </c>
      <c r="AP18" s="34">
        <v>112.5</v>
      </c>
      <c r="AQ18" s="34">
        <v>112.5</v>
      </c>
      <c r="AR18" s="34">
        <v>112.5</v>
      </c>
      <c r="AS18" s="34">
        <v>112.5</v>
      </c>
      <c r="AT18" s="34">
        <v>112.5</v>
      </c>
      <c r="AU18" s="34">
        <v>112.5</v>
      </c>
      <c r="AV18" s="34">
        <v>252</v>
      </c>
      <c r="AW18" s="34">
        <v>135</v>
      </c>
      <c r="AX18" s="34">
        <v>112.5</v>
      </c>
      <c r="AY18" s="34">
        <v>112.5</v>
      </c>
      <c r="AZ18" s="34">
        <v>112.5</v>
      </c>
      <c r="BA18" s="34">
        <v>112.5</v>
      </c>
      <c r="BB18" s="34">
        <v>112.5</v>
      </c>
      <c r="BC18" s="34">
        <v>252</v>
      </c>
      <c r="BD18" s="34"/>
      <c r="BE18" s="34"/>
      <c r="BF18" s="34"/>
      <c r="BG18" s="34"/>
      <c r="BH18" s="34"/>
      <c r="BI18" s="34"/>
      <c r="BJ18" s="35">
        <f t="shared" si="8"/>
        <v>36894</v>
      </c>
      <c r="BK18" s="41">
        <v>19923.63</v>
      </c>
      <c r="BL18" s="37">
        <f t="shared" si="9"/>
        <v>735062405</v>
      </c>
      <c r="BM18" s="38">
        <v>1.05</v>
      </c>
      <c r="BN18" s="39">
        <f>ROUND((E18*BM18),0)*BK18</f>
        <v>17373405.359999999</v>
      </c>
      <c r="BO18" s="39">
        <f>ROUND((E18*BM18),0)*BK18</f>
        <v>17373405.359999999</v>
      </c>
      <c r="BP18" s="39">
        <f>ROUND((F18*BM18),0)*BK18</f>
        <v>15062264.280000001</v>
      </c>
      <c r="BQ18" s="39">
        <f>ROUND((J18*BM18),0)*BK18</f>
        <v>7531132.1400000006</v>
      </c>
      <c r="BR18" s="39">
        <f>ROUND((K18*BM18),0)*BK18</f>
        <v>6275943.4500000002</v>
      </c>
      <c r="BS18" s="39">
        <f>ROUND((D18*BM18),0)*BK18</f>
        <v>20083019.040000003</v>
      </c>
      <c r="BT18" s="39">
        <f>ROUND((G18*BM18),0)*BK18</f>
        <v>12551886.9</v>
      </c>
      <c r="BU18" s="39">
        <f>ROUND((J18*BM18),0)*BK18</f>
        <v>7531132.1400000006</v>
      </c>
    </row>
    <row r="19" spans="1:73" s="46" customFormat="1" ht="31.5" x14ac:dyDescent="0.25">
      <c r="A19" s="47" t="s">
        <v>128</v>
      </c>
      <c r="B19" s="48" t="s">
        <v>129</v>
      </c>
      <c r="C19" s="32" t="s">
        <v>125</v>
      </c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5">
        <f t="shared" si="8"/>
        <v>0</v>
      </c>
      <c r="BK19" s="41">
        <v>16668.669999999998</v>
      </c>
      <c r="BL19" s="37">
        <f t="shared" si="9"/>
        <v>0</v>
      </c>
      <c r="BM19" s="38">
        <v>1.05</v>
      </c>
      <c r="BN19" s="39"/>
      <c r="BO19" s="39"/>
      <c r="BP19" s="39"/>
      <c r="BQ19" s="39"/>
      <c r="BR19" s="39"/>
      <c r="BS19" s="39"/>
      <c r="BT19" s="39"/>
      <c r="BU19" s="39"/>
    </row>
    <row r="20" spans="1:73" s="46" customFormat="1" ht="31.5" x14ac:dyDescent="0.25">
      <c r="A20" s="47" t="s">
        <v>130</v>
      </c>
      <c r="B20" s="48" t="s">
        <v>131</v>
      </c>
      <c r="C20" s="32" t="s">
        <v>125</v>
      </c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5">
        <f t="shared" si="8"/>
        <v>0</v>
      </c>
      <c r="BK20" s="41">
        <v>29688.5</v>
      </c>
      <c r="BL20" s="37">
        <f t="shared" si="9"/>
        <v>0</v>
      </c>
      <c r="BM20" s="38">
        <v>1.05</v>
      </c>
      <c r="BN20" s="39"/>
      <c r="BO20" s="39"/>
      <c r="BP20" s="39"/>
      <c r="BQ20" s="39"/>
      <c r="BR20" s="39"/>
      <c r="BS20" s="39"/>
      <c r="BT20" s="39"/>
      <c r="BU20" s="39"/>
    </row>
    <row r="21" spans="1:73" s="56" customFormat="1" ht="15.75" x14ac:dyDescent="0.25">
      <c r="A21" s="52" t="s">
        <v>132</v>
      </c>
      <c r="B21" s="48" t="s">
        <v>133</v>
      </c>
      <c r="C21" s="53" t="s">
        <v>115</v>
      </c>
      <c r="D21" s="53">
        <v>1356.48</v>
      </c>
      <c r="E21" s="53">
        <v>1876.4639999999999</v>
      </c>
      <c r="F21" s="53">
        <v>1627.7759999999998</v>
      </c>
      <c r="G21" s="53">
        <v>1356.48</v>
      </c>
      <c r="H21" s="53">
        <v>19262.016</v>
      </c>
      <c r="I21" s="53">
        <v>678.24</v>
      </c>
      <c r="J21" s="53">
        <v>813.88799999999992</v>
      </c>
      <c r="K21" s="53">
        <v>678.24</v>
      </c>
      <c r="L21" s="53">
        <v>813.88799999999992</v>
      </c>
      <c r="M21" s="53">
        <v>5459.8319999999994</v>
      </c>
      <c r="N21" s="53">
        <v>2633.8319999999999</v>
      </c>
      <c r="O21" s="53">
        <v>4973.76</v>
      </c>
      <c r="P21" s="53">
        <v>1627.7759999999998</v>
      </c>
      <c r="Q21" s="53">
        <v>1509.0840000000001</v>
      </c>
      <c r="R21" s="53">
        <v>1013.592</v>
      </c>
      <c r="S21" s="53">
        <v>966.49199999999996</v>
      </c>
      <c r="T21" s="53">
        <v>2170.2719999999999</v>
      </c>
      <c r="U21" s="53">
        <v>813.88799999999992</v>
      </c>
      <c r="V21" s="53">
        <v>1891.5360000000001</v>
      </c>
      <c r="W21" s="53">
        <v>3933.7919999999995</v>
      </c>
      <c r="X21" s="53">
        <v>1556.184</v>
      </c>
      <c r="Y21" s="53">
        <v>1899.0720000000001</v>
      </c>
      <c r="Z21" s="53">
        <v>1627.7759999999998</v>
      </c>
      <c r="AA21" s="53">
        <v>1413</v>
      </c>
      <c r="AB21" s="53">
        <v>2027.1840000000002</v>
      </c>
      <c r="AC21" s="53">
        <v>1763.424</v>
      </c>
      <c r="AD21" s="34">
        <v>254.34</v>
      </c>
      <c r="AE21" s="34">
        <v>254.34</v>
      </c>
      <c r="AF21" s="34">
        <v>254.34</v>
      </c>
      <c r="AG21" s="34">
        <v>254.34</v>
      </c>
      <c r="AH21" s="34">
        <v>886.2</v>
      </c>
      <c r="AI21" s="34">
        <v>886.2</v>
      </c>
      <c r="AJ21" s="34">
        <v>886.2</v>
      </c>
      <c r="AK21" s="34">
        <v>886.2</v>
      </c>
      <c r="AL21" s="34">
        <v>886.2</v>
      </c>
      <c r="AM21" s="34">
        <v>886.2</v>
      </c>
      <c r="AN21" s="34">
        <v>254.34</v>
      </c>
      <c r="AO21" s="34">
        <v>254.34</v>
      </c>
      <c r="AP21" s="34">
        <v>254.34</v>
      </c>
      <c r="AQ21" s="34">
        <v>254.34</v>
      </c>
      <c r="AR21" s="34">
        <v>254.34</v>
      </c>
      <c r="AS21" s="34">
        <v>254.34</v>
      </c>
      <c r="AT21" s="34">
        <v>254.34</v>
      </c>
      <c r="AU21" s="34">
        <v>254.34</v>
      </c>
      <c r="AV21" s="34">
        <v>569.72160000000008</v>
      </c>
      <c r="AW21" s="34">
        <v>305.20800000000003</v>
      </c>
      <c r="AX21" s="34">
        <v>254.34</v>
      </c>
      <c r="AY21" s="34">
        <v>254.34</v>
      </c>
      <c r="AZ21" s="34">
        <v>254.34</v>
      </c>
      <c r="BA21" s="34">
        <v>254.34</v>
      </c>
      <c r="BB21" s="34">
        <v>254.34</v>
      </c>
      <c r="BC21" s="34">
        <v>569.72160000000008</v>
      </c>
      <c r="BD21" s="34"/>
      <c r="BE21" s="34"/>
      <c r="BF21" s="34"/>
      <c r="BG21" s="34"/>
      <c r="BH21" s="34"/>
      <c r="BI21" s="34"/>
      <c r="BJ21" s="35">
        <f t="shared" si="8"/>
        <v>80671</v>
      </c>
      <c r="BK21" s="41">
        <v>10625.83</v>
      </c>
      <c r="BL21" s="37">
        <f t="shared" si="9"/>
        <v>857196332</v>
      </c>
      <c r="BM21" s="54">
        <v>1.05</v>
      </c>
      <c r="BN21" s="55">
        <f>ROUND((E21*BM21),0)*BK21</f>
        <v>20932885.100000001</v>
      </c>
      <c r="BO21" s="55">
        <f>ROUND((E21*BM21),0)*BK21</f>
        <v>20932885.100000001</v>
      </c>
      <c r="BP21" s="55">
        <f>ROUND((F21*BM21),0)*BK21</f>
        <v>18159543.469999999</v>
      </c>
      <c r="BQ21" s="55">
        <f>ROUND((J21*BM21),0)*BK21</f>
        <v>9085084.6500000004</v>
      </c>
      <c r="BR21" s="55">
        <f>ROUND((K21*BM21),0)*BK21</f>
        <v>7565590.96</v>
      </c>
      <c r="BS21" s="55">
        <f>ROUND((D21*BM21),0)*BK21</f>
        <v>15131181.92</v>
      </c>
      <c r="BT21" s="55">
        <f>ROUND((G21*BM21),0)*BK21</f>
        <v>15131181.92</v>
      </c>
      <c r="BU21" s="55">
        <f>ROUND((J21*BM21),0)*BK21</f>
        <v>9085084.6500000004</v>
      </c>
    </row>
    <row r="22" spans="1:73" s="56" customFormat="1" ht="15.75" x14ac:dyDescent="0.25">
      <c r="A22" s="57" t="s">
        <v>136</v>
      </c>
      <c r="B22" s="58" t="s">
        <v>137</v>
      </c>
      <c r="C22" s="53"/>
      <c r="D22" s="53">
        <v>218.17325000000002</v>
      </c>
      <c r="E22" s="53">
        <v>280.86667615407748</v>
      </c>
      <c r="F22" s="53">
        <v>285.50082632303076</v>
      </c>
      <c r="G22" s="53">
        <v>167.56279775653405</v>
      </c>
      <c r="H22" s="53">
        <v>1597.0532500000002</v>
      </c>
      <c r="I22" s="53">
        <v>171.04806641599305</v>
      </c>
      <c r="J22" s="53">
        <v>158.65325000000001</v>
      </c>
      <c r="K22" s="53">
        <v>133.56530907005978</v>
      </c>
      <c r="L22" s="53">
        <v>148.73325</v>
      </c>
      <c r="M22" s="53">
        <v>436.41325000000006</v>
      </c>
      <c r="N22" s="53">
        <v>317.37324999999998</v>
      </c>
      <c r="O22" s="53">
        <v>317.37324999999998</v>
      </c>
      <c r="P22" s="53">
        <v>277.69325000000003</v>
      </c>
      <c r="Q22" s="53">
        <v>218.17325000000002</v>
      </c>
      <c r="R22" s="53">
        <v>158.65325000000001</v>
      </c>
      <c r="S22" s="53">
        <v>158.65325000000001</v>
      </c>
      <c r="T22" s="53">
        <v>218.17325000000002</v>
      </c>
      <c r="U22" s="53">
        <v>158.65325000000001</v>
      </c>
      <c r="V22" s="53">
        <v>183.45325000000003</v>
      </c>
      <c r="W22" s="53">
        <v>436.41325000000006</v>
      </c>
      <c r="X22" s="53">
        <v>238.78715355926732</v>
      </c>
      <c r="Y22" s="53">
        <v>317.37324999999998</v>
      </c>
      <c r="Z22" s="53">
        <v>287.3253090700598</v>
      </c>
      <c r="AA22" s="53">
        <v>361.10566488811179</v>
      </c>
      <c r="AB22" s="53">
        <v>277.69325000000003</v>
      </c>
      <c r="AC22" s="53">
        <v>280.86667615407748</v>
      </c>
      <c r="AD22" s="34">
        <v>59.919750000000001</v>
      </c>
      <c r="AE22" s="34">
        <v>59.919750000000001</v>
      </c>
      <c r="AF22" s="34">
        <v>59.919750000000001</v>
      </c>
      <c r="AG22" s="34">
        <v>59.919750000000001</v>
      </c>
      <c r="AH22" s="34">
        <v>57.519750000000002</v>
      </c>
      <c r="AI22" s="34">
        <v>57.519750000000002</v>
      </c>
      <c r="AJ22" s="34">
        <v>57.519750000000002</v>
      </c>
      <c r="AK22" s="34">
        <v>57.519750000000002</v>
      </c>
      <c r="AL22" s="34">
        <v>57.519750000000002</v>
      </c>
      <c r="AM22" s="34">
        <v>57.519750000000002</v>
      </c>
      <c r="AN22" s="34">
        <v>59.919750000000001</v>
      </c>
      <c r="AO22" s="34">
        <v>59.919750000000001</v>
      </c>
      <c r="AP22" s="34">
        <v>59.919750000000001</v>
      </c>
      <c r="AQ22" s="34">
        <v>59.919750000000001</v>
      </c>
      <c r="AR22" s="34">
        <v>59.919750000000001</v>
      </c>
      <c r="AS22" s="34">
        <v>59.919750000000001</v>
      </c>
      <c r="AT22" s="34">
        <v>59.919750000000001</v>
      </c>
      <c r="AU22" s="34">
        <v>59.919750000000001</v>
      </c>
      <c r="AV22" s="34">
        <v>134.87950000000001</v>
      </c>
      <c r="AW22" s="34">
        <v>68.781000000000006</v>
      </c>
      <c r="AX22" s="34">
        <v>59.919750000000001</v>
      </c>
      <c r="AY22" s="34">
        <v>59.919750000000001</v>
      </c>
      <c r="AZ22" s="34">
        <v>59.919750000000001</v>
      </c>
      <c r="BA22" s="34">
        <v>59.919750000000001</v>
      </c>
      <c r="BB22" s="34">
        <v>59.919750000000001</v>
      </c>
      <c r="BC22" s="34">
        <v>134.87950000000001</v>
      </c>
      <c r="BD22" s="34"/>
      <c r="BE22" s="34"/>
      <c r="BF22" s="34"/>
      <c r="BG22" s="34"/>
      <c r="BH22" s="34"/>
      <c r="BI22" s="34"/>
      <c r="BJ22" s="35">
        <f t="shared" si="8"/>
        <v>9983</v>
      </c>
      <c r="BK22" s="41">
        <v>10836.87</v>
      </c>
      <c r="BL22" s="37">
        <f t="shared" si="9"/>
        <v>108184473</v>
      </c>
      <c r="BM22" s="54">
        <v>1.05</v>
      </c>
      <c r="BN22" s="55"/>
      <c r="BO22" s="55"/>
      <c r="BP22" s="55"/>
      <c r="BQ22" s="55"/>
      <c r="BR22" s="55"/>
      <c r="BS22" s="55"/>
      <c r="BT22" s="55"/>
      <c r="BU22" s="55"/>
    </row>
    <row r="23" spans="1:73" s="56" customFormat="1" ht="31.5" x14ac:dyDescent="0.25">
      <c r="A23" s="57" t="s">
        <v>138</v>
      </c>
      <c r="B23" s="58" t="s">
        <v>139</v>
      </c>
      <c r="C23" s="53" t="s">
        <v>115</v>
      </c>
      <c r="D23" s="53">
        <v>138.44389999999999</v>
      </c>
      <c r="E23" s="53">
        <v>153.8108366842485</v>
      </c>
      <c r="F23" s="53">
        <v>193.61884441902532</v>
      </c>
      <c r="G23" s="53">
        <v>269.75417052211264</v>
      </c>
      <c r="H23" s="53">
        <v>455.63749999999999</v>
      </c>
      <c r="I23" s="53">
        <v>167.02648478080675</v>
      </c>
      <c r="J23" s="53">
        <v>118.45350000000002</v>
      </c>
      <c r="K23" s="53">
        <v>130.27627822033205</v>
      </c>
      <c r="L23" s="53">
        <v>118.45350000000002</v>
      </c>
      <c r="M23" s="53">
        <v>206.6669</v>
      </c>
      <c r="N23" s="53">
        <v>161.68510000000001</v>
      </c>
      <c r="O23" s="53">
        <v>241.1951</v>
      </c>
      <c r="P23" s="53">
        <v>150.06450000000001</v>
      </c>
      <c r="Q23" s="53">
        <v>138.44389999999999</v>
      </c>
      <c r="R23" s="53">
        <v>118.45350000000002</v>
      </c>
      <c r="S23" s="53">
        <v>118.45350000000002</v>
      </c>
      <c r="T23" s="53">
        <v>178.19889999999998</v>
      </c>
      <c r="U23" s="53">
        <v>118.45350000000002</v>
      </c>
      <c r="V23" s="53">
        <v>184.57830000000001</v>
      </c>
      <c r="W23" s="53">
        <v>206.6669</v>
      </c>
      <c r="X23" s="53">
        <v>139.29664077356801</v>
      </c>
      <c r="Y23" s="53">
        <v>161.68510000000001</v>
      </c>
      <c r="Z23" s="53">
        <v>161.43547083310037</v>
      </c>
      <c r="AA23" s="53">
        <v>10.045</v>
      </c>
      <c r="AB23" s="53">
        <v>150.06450000000001</v>
      </c>
      <c r="AC23" s="53">
        <v>153.8108366842485</v>
      </c>
      <c r="AD23" s="34">
        <v>89.218699999999998</v>
      </c>
      <c r="AE23" s="34">
        <v>89.218699999999998</v>
      </c>
      <c r="AF23" s="34">
        <v>89.218699999999998</v>
      </c>
      <c r="AG23" s="34">
        <v>89.218699999999998</v>
      </c>
      <c r="AH23" s="34">
        <v>115.0187</v>
      </c>
      <c r="AI23" s="34">
        <v>115.0187</v>
      </c>
      <c r="AJ23" s="34">
        <v>115.0187</v>
      </c>
      <c r="AK23" s="34">
        <v>115.0187</v>
      </c>
      <c r="AL23" s="34">
        <v>115.0187</v>
      </c>
      <c r="AM23" s="34">
        <v>115.0187</v>
      </c>
      <c r="AN23" s="34">
        <v>89.218699999999998</v>
      </c>
      <c r="AO23" s="34">
        <v>89.218699999999998</v>
      </c>
      <c r="AP23" s="34">
        <v>89.218699999999998</v>
      </c>
      <c r="AQ23" s="34">
        <v>89.218699999999998</v>
      </c>
      <c r="AR23" s="34">
        <v>89.218699999999998</v>
      </c>
      <c r="AS23" s="34">
        <v>89.218699999999998</v>
      </c>
      <c r="AT23" s="34">
        <v>89.218699999999998</v>
      </c>
      <c r="AU23" s="34">
        <v>89.218699999999998</v>
      </c>
      <c r="AV23" s="34">
        <v>178.4374</v>
      </c>
      <c r="AW23" s="34">
        <v>101.39449999999999</v>
      </c>
      <c r="AX23" s="34">
        <v>89.218699999999998</v>
      </c>
      <c r="AY23" s="34">
        <v>89.218699999999998</v>
      </c>
      <c r="AZ23" s="34">
        <v>89.218699999999998</v>
      </c>
      <c r="BA23" s="34">
        <v>89.218699999999998</v>
      </c>
      <c r="BB23" s="34">
        <v>89.218699999999998</v>
      </c>
      <c r="BC23" s="34">
        <v>178.4374</v>
      </c>
      <c r="BD23" s="34"/>
      <c r="BE23" s="34"/>
      <c r="BF23" s="34"/>
      <c r="BG23" s="34"/>
      <c r="BH23" s="34"/>
      <c r="BI23" s="34"/>
      <c r="BJ23" s="35">
        <f t="shared" si="8"/>
        <v>7360</v>
      </c>
      <c r="BK23" s="41">
        <v>11485.88</v>
      </c>
      <c r="BL23" s="37">
        <f t="shared" si="9"/>
        <v>84536077</v>
      </c>
      <c r="BM23" s="54">
        <v>1.05</v>
      </c>
      <c r="BN23" s="55">
        <f t="shared" ref="BN23:BN41" si="10">ROUND((E23*BM23),0)*BK23</f>
        <v>1860712.5599999998</v>
      </c>
      <c r="BO23" s="55">
        <f t="shared" ref="BO23:BO41" si="11">ROUND((E23*BM23),0)*BK23</f>
        <v>1860712.5599999998</v>
      </c>
      <c r="BP23" s="55">
        <f t="shared" ref="BP23:BP41" si="12">ROUND((F23*BM23),0)*BK23</f>
        <v>2331633.6399999997</v>
      </c>
      <c r="BQ23" s="55">
        <f t="shared" ref="BQ23:BQ41" si="13">ROUND((J23*BM23),0)*BK23</f>
        <v>1424249.1199999999</v>
      </c>
      <c r="BR23" s="55">
        <f t="shared" ref="BR23:BR41" si="14">ROUND((K23*BM23),0)*BK23</f>
        <v>1573565.5599999998</v>
      </c>
      <c r="BS23" s="55">
        <f t="shared" ref="BS23:BS41" si="15">ROUND((D23*BM23),0)*BK23</f>
        <v>1665452.5999999999</v>
      </c>
      <c r="BT23" s="55">
        <f t="shared" ref="BT23:BT41" si="16">ROUND((G23*BM23),0)*BK23</f>
        <v>3250504.0399999996</v>
      </c>
      <c r="BU23" s="55">
        <f t="shared" ref="BU23:BU41" si="17">ROUND((J23*BM23),0)*BK23</f>
        <v>1424249.1199999999</v>
      </c>
    </row>
    <row r="24" spans="1:73" s="56" customFormat="1" ht="31.5" x14ac:dyDescent="0.25">
      <c r="A24" s="57" t="s">
        <v>140</v>
      </c>
      <c r="B24" s="58" t="s">
        <v>141</v>
      </c>
      <c r="C24" s="53" t="s">
        <v>115</v>
      </c>
      <c r="D24" s="53"/>
      <c r="E24" s="53"/>
      <c r="F24" s="53"/>
      <c r="G24" s="53">
        <v>987.84789595109396</v>
      </c>
      <c r="H24" s="53"/>
      <c r="I24" s="53">
        <v>0</v>
      </c>
      <c r="J24" s="53"/>
      <c r="K24" s="53">
        <v>0</v>
      </c>
      <c r="L24" s="53"/>
      <c r="M24" s="53">
        <v>1474.2</v>
      </c>
      <c r="N24" s="53">
        <v>737.1</v>
      </c>
      <c r="O24" s="53">
        <v>1795.5</v>
      </c>
      <c r="P24" s="53"/>
      <c r="Q24" s="53">
        <v>0</v>
      </c>
      <c r="R24" s="53"/>
      <c r="S24" s="53"/>
      <c r="T24" s="53">
        <v>245.70000000000002</v>
      </c>
      <c r="U24" s="53"/>
      <c r="V24" s="53">
        <v>469.66986000000003</v>
      </c>
      <c r="W24" s="53">
        <v>737.1</v>
      </c>
      <c r="X24" s="53">
        <v>248.11216693797607</v>
      </c>
      <c r="Y24" s="53">
        <v>0</v>
      </c>
      <c r="Z24" s="53">
        <v>0</v>
      </c>
      <c r="AA24" s="53">
        <v>685.57047479876655</v>
      </c>
      <c r="AB24" s="53">
        <v>491.40000000000003</v>
      </c>
      <c r="AC24" s="53"/>
      <c r="AD24" s="34">
        <v>0</v>
      </c>
      <c r="AE24" s="34">
        <v>0</v>
      </c>
      <c r="AF24" s="34">
        <v>0</v>
      </c>
      <c r="AG24" s="34">
        <v>0</v>
      </c>
      <c r="AH24" s="34">
        <v>0</v>
      </c>
      <c r="AI24" s="34">
        <v>0</v>
      </c>
      <c r="AJ24" s="34">
        <v>0</v>
      </c>
      <c r="AK24" s="34">
        <v>0</v>
      </c>
      <c r="AL24" s="34">
        <v>0</v>
      </c>
      <c r="AM24" s="34">
        <v>0</v>
      </c>
      <c r="AN24" s="34">
        <v>0</v>
      </c>
      <c r="AO24" s="34">
        <v>0</v>
      </c>
      <c r="AP24" s="34">
        <v>0</v>
      </c>
      <c r="AQ24" s="34">
        <v>0</v>
      </c>
      <c r="AR24" s="34">
        <v>0</v>
      </c>
      <c r="AS24" s="34">
        <v>0</v>
      </c>
      <c r="AT24" s="34">
        <v>0</v>
      </c>
      <c r="AU24" s="34">
        <v>0</v>
      </c>
      <c r="AV24" s="34">
        <v>0</v>
      </c>
      <c r="AW24" s="34">
        <v>0</v>
      </c>
      <c r="AX24" s="34">
        <v>0</v>
      </c>
      <c r="AY24" s="34">
        <v>0</v>
      </c>
      <c r="AZ24" s="34">
        <v>0</v>
      </c>
      <c r="BA24" s="34">
        <v>0</v>
      </c>
      <c r="BB24" s="34">
        <v>0</v>
      </c>
      <c r="BC24" s="34">
        <v>0</v>
      </c>
      <c r="BD24" s="34"/>
      <c r="BE24" s="34"/>
      <c r="BF24" s="34"/>
      <c r="BG24" s="34"/>
      <c r="BH24" s="34"/>
      <c r="BI24" s="34"/>
      <c r="BJ24" s="35">
        <f t="shared" si="8"/>
        <v>8266</v>
      </c>
      <c r="BK24" s="41">
        <v>10625.83</v>
      </c>
      <c r="BL24" s="37">
        <f t="shared" si="9"/>
        <v>87833111</v>
      </c>
      <c r="BM24" s="54">
        <v>1.05</v>
      </c>
      <c r="BN24" s="55">
        <f t="shared" si="10"/>
        <v>0</v>
      </c>
      <c r="BO24" s="55">
        <f t="shared" si="11"/>
        <v>0</v>
      </c>
      <c r="BP24" s="55">
        <f t="shared" si="12"/>
        <v>0</v>
      </c>
      <c r="BQ24" s="55">
        <f t="shared" si="13"/>
        <v>0</v>
      </c>
      <c r="BR24" s="55">
        <f t="shared" si="14"/>
        <v>0</v>
      </c>
      <c r="BS24" s="55">
        <f t="shared" si="15"/>
        <v>0</v>
      </c>
      <c r="BT24" s="55">
        <f t="shared" si="16"/>
        <v>11018985.709999999</v>
      </c>
      <c r="BU24" s="55">
        <f t="shared" si="17"/>
        <v>0</v>
      </c>
    </row>
    <row r="25" spans="1:73" s="56" customFormat="1" ht="47.25" x14ac:dyDescent="0.25">
      <c r="A25" s="57" t="s">
        <v>142</v>
      </c>
      <c r="B25" s="58" t="s">
        <v>143</v>
      </c>
      <c r="C25" s="53" t="s">
        <v>115</v>
      </c>
      <c r="D25" s="53">
        <v>2228.69524</v>
      </c>
      <c r="E25" s="53">
        <v>2903.0480944787305</v>
      </c>
      <c r="F25" s="53">
        <v>2894.2977530595431</v>
      </c>
      <c r="G25" s="53">
        <v>1399.6320776656328</v>
      </c>
      <c r="H25" s="53">
        <v>20665.941500000001</v>
      </c>
      <c r="I25" s="53">
        <v>771.51810459265323</v>
      </c>
      <c r="J25" s="53">
        <v>1099.1516999999999</v>
      </c>
      <c r="K25" s="53">
        <v>741.74507499344236</v>
      </c>
      <c r="L25" s="53">
        <v>1083.1675799999998</v>
      </c>
      <c r="M25" s="53">
        <v>7533.8212700000004</v>
      </c>
      <c r="N25" s="53">
        <v>3841.8424599999998</v>
      </c>
      <c r="O25" s="53">
        <v>4329.2330999999995</v>
      </c>
      <c r="P25" s="53">
        <v>2886.5038299999997</v>
      </c>
      <c r="Q25" s="53">
        <v>2247.2513200000003</v>
      </c>
      <c r="R25" s="53">
        <v>1213.1009000000001</v>
      </c>
      <c r="S25" s="53">
        <v>1311.3401799999999</v>
      </c>
      <c r="T25" s="53">
        <v>2531.22136</v>
      </c>
      <c r="U25" s="53">
        <v>1074.8341</v>
      </c>
      <c r="V25" s="53">
        <v>1978.6142199999999</v>
      </c>
      <c r="W25" s="53">
        <v>5903.9187499999998</v>
      </c>
      <c r="X25" s="53">
        <v>2254.1111600000004</v>
      </c>
      <c r="Y25" s="53">
        <v>3480.2062999999998</v>
      </c>
      <c r="Z25" s="53">
        <v>2721.6631218875591</v>
      </c>
      <c r="AA25" s="53">
        <v>226.41213325328829</v>
      </c>
      <c r="AB25" s="53">
        <v>3080.8949499999999</v>
      </c>
      <c r="AC25" s="53">
        <v>2781.16177447873</v>
      </c>
      <c r="AD25" s="34">
        <v>324.01679999999993</v>
      </c>
      <c r="AE25" s="34">
        <v>324.01679999999993</v>
      </c>
      <c r="AF25" s="34">
        <v>324.01679999999993</v>
      </c>
      <c r="AG25" s="34">
        <v>324.01679999999993</v>
      </c>
      <c r="AH25" s="34">
        <v>512.202</v>
      </c>
      <c r="AI25" s="34">
        <v>512.202</v>
      </c>
      <c r="AJ25" s="34">
        <v>512.202</v>
      </c>
      <c r="AK25" s="34">
        <v>512.202</v>
      </c>
      <c r="AL25" s="34">
        <v>512.202</v>
      </c>
      <c r="AM25" s="34">
        <v>512.202</v>
      </c>
      <c r="AN25" s="34">
        <v>324.01679999999993</v>
      </c>
      <c r="AO25" s="34">
        <v>324.01679999999993</v>
      </c>
      <c r="AP25" s="34">
        <v>324.01679999999993</v>
      </c>
      <c r="AQ25" s="34">
        <v>324.01679999999993</v>
      </c>
      <c r="AR25" s="34">
        <v>324.01679999999993</v>
      </c>
      <c r="AS25" s="34">
        <v>324.01679999999993</v>
      </c>
      <c r="AT25" s="34">
        <v>324.01679999999993</v>
      </c>
      <c r="AU25" s="34">
        <v>324.01679999999993</v>
      </c>
      <c r="AV25" s="34">
        <v>725.52999999999986</v>
      </c>
      <c r="AW25" s="34">
        <v>399.98524999999995</v>
      </c>
      <c r="AX25" s="34">
        <v>324.01679999999993</v>
      </c>
      <c r="AY25" s="34">
        <v>324.01679999999993</v>
      </c>
      <c r="AZ25" s="34">
        <v>324.01679999999993</v>
      </c>
      <c r="BA25" s="34">
        <v>324.01679999999993</v>
      </c>
      <c r="BB25" s="34">
        <v>324.01679999999993</v>
      </c>
      <c r="BC25" s="34">
        <v>725.52999999999986</v>
      </c>
      <c r="BD25" s="34"/>
      <c r="BE25" s="34"/>
      <c r="BF25" s="34"/>
      <c r="BG25" s="34"/>
      <c r="BH25" s="34"/>
      <c r="BI25" s="34"/>
      <c r="BJ25" s="35">
        <f t="shared" si="8"/>
        <v>98297</v>
      </c>
      <c r="BK25" s="41">
        <v>11894.95</v>
      </c>
      <c r="BL25" s="37">
        <f t="shared" si="9"/>
        <v>1169237900</v>
      </c>
      <c r="BM25" s="54">
        <v>1.05</v>
      </c>
      <c r="BN25" s="55">
        <f t="shared" si="10"/>
        <v>36255807.600000001</v>
      </c>
      <c r="BO25" s="55">
        <f t="shared" si="11"/>
        <v>36255807.600000001</v>
      </c>
      <c r="BP25" s="55">
        <f t="shared" si="12"/>
        <v>36148753.050000004</v>
      </c>
      <c r="BQ25" s="55">
        <f t="shared" si="13"/>
        <v>13726772.300000001</v>
      </c>
      <c r="BR25" s="55">
        <f t="shared" si="14"/>
        <v>9266166.0500000007</v>
      </c>
      <c r="BS25" s="55">
        <f t="shared" si="15"/>
        <v>27834183</v>
      </c>
      <c r="BT25" s="55">
        <f t="shared" si="16"/>
        <v>17485576.5</v>
      </c>
      <c r="BU25" s="55">
        <f t="shared" si="17"/>
        <v>13726772.300000001</v>
      </c>
    </row>
    <row r="26" spans="1:73" s="40" customFormat="1" ht="15.75" x14ac:dyDescent="0.25">
      <c r="A26" s="59" t="s">
        <v>144</v>
      </c>
      <c r="B26" s="60" t="s">
        <v>145</v>
      </c>
      <c r="C26" s="32" t="s">
        <v>115</v>
      </c>
      <c r="D26" s="32">
        <v>1895.5754400000001</v>
      </c>
      <c r="E26" s="32">
        <v>3310.3896000000004</v>
      </c>
      <c r="F26" s="32">
        <v>2331.6819000000005</v>
      </c>
      <c r="G26" s="32">
        <v>316.70760000000001</v>
      </c>
      <c r="H26" s="32">
        <v>19366.751259999997</v>
      </c>
      <c r="I26" s="32">
        <v>653.38715999999999</v>
      </c>
      <c r="J26" s="32">
        <v>3317.0748000000003</v>
      </c>
      <c r="K26" s="32">
        <v>789.21071999999992</v>
      </c>
      <c r="L26" s="32">
        <v>2369.4693000000002</v>
      </c>
      <c r="M26" s="32">
        <v>5970.7346400000006</v>
      </c>
      <c r="N26" s="32">
        <v>3980.4897600000004</v>
      </c>
      <c r="O26" s="32">
        <v>3980.4897600000004</v>
      </c>
      <c r="P26" s="32">
        <v>3317.0748000000003</v>
      </c>
      <c r="Q26" s="32">
        <v>1895.5754400000001</v>
      </c>
      <c r="R26" s="32">
        <v>3317.0748000000003</v>
      </c>
      <c r="S26" s="32">
        <v>3317.0748000000003</v>
      </c>
      <c r="T26" s="32">
        <v>1895.5754400000001</v>
      </c>
      <c r="U26" s="32">
        <v>3317.0748000000003</v>
      </c>
      <c r="V26" s="32">
        <v>1421.6815799999999</v>
      </c>
      <c r="W26" s="32">
        <v>5970.7346400000006</v>
      </c>
      <c r="X26" s="32">
        <v>2653.6598400000003</v>
      </c>
      <c r="Y26" s="32">
        <v>3980.4897600000004</v>
      </c>
      <c r="Z26" s="32">
        <v>3290.3339999999998</v>
      </c>
      <c r="AA26" s="32">
        <v>3980.4897600000004</v>
      </c>
      <c r="AB26" s="32">
        <v>3317.0748000000003</v>
      </c>
      <c r="AC26" s="32">
        <v>3310.3896000000004</v>
      </c>
      <c r="AD26" s="34">
        <v>215.18383999999998</v>
      </c>
      <c r="AE26" s="34">
        <v>215.18383999999998</v>
      </c>
      <c r="AF26" s="34">
        <v>215.18383999999998</v>
      </c>
      <c r="AG26" s="34">
        <v>215.18383999999998</v>
      </c>
      <c r="AH26" s="34">
        <v>215.18383999999998</v>
      </c>
      <c r="AI26" s="34">
        <v>215.18383999999998</v>
      </c>
      <c r="AJ26" s="34">
        <v>215.18383999999998</v>
      </c>
      <c r="AK26" s="34">
        <v>215.18383999999998</v>
      </c>
      <c r="AL26" s="34">
        <v>215.18383999999998</v>
      </c>
      <c r="AM26" s="34">
        <v>215.18383999999998</v>
      </c>
      <c r="AN26" s="34">
        <v>215.18383999999998</v>
      </c>
      <c r="AO26" s="34">
        <v>215.18383999999998</v>
      </c>
      <c r="AP26" s="34">
        <v>215.18383999999998</v>
      </c>
      <c r="AQ26" s="34">
        <v>215.18383999999998</v>
      </c>
      <c r="AR26" s="34">
        <v>215.18383999999998</v>
      </c>
      <c r="AS26" s="34">
        <v>215.18383999999998</v>
      </c>
      <c r="AT26" s="34">
        <v>215.18383999999998</v>
      </c>
      <c r="AU26" s="34">
        <v>215.18383999999998</v>
      </c>
      <c r="AV26" s="34">
        <v>441.57263999999998</v>
      </c>
      <c r="AW26" s="34">
        <v>349.14293231999994</v>
      </c>
      <c r="AX26" s="34">
        <v>215.18383999999998</v>
      </c>
      <c r="AY26" s="34">
        <v>215.18383999999998</v>
      </c>
      <c r="AZ26" s="34">
        <v>215.18383999999998</v>
      </c>
      <c r="BA26" s="34">
        <v>215.18383999999998</v>
      </c>
      <c r="BB26" s="34">
        <v>215.18383999999998</v>
      </c>
      <c r="BC26" s="34">
        <v>441.57263999999998</v>
      </c>
      <c r="BD26" s="34"/>
      <c r="BE26" s="34"/>
      <c r="BF26" s="34"/>
      <c r="BG26" s="34"/>
      <c r="BH26" s="34"/>
      <c r="BI26" s="34"/>
      <c r="BJ26" s="35">
        <f t="shared" si="8"/>
        <v>104420</v>
      </c>
      <c r="BK26" s="41">
        <v>15255.49</v>
      </c>
      <c r="BL26" s="37">
        <f t="shared" si="9"/>
        <v>1592978266</v>
      </c>
      <c r="BM26" s="38">
        <v>1.05</v>
      </c>
      <c r="BN26" s="39">
        <f t="shared" si="10"/>
        <v>53028083.240000002</v>
      </c>
      <c r="BO26" s="39">
        <f t="shared" si="11"/>
        <v>53028083.240000002</v>
      </c>
      <c r="BP26" s="39">
        <f t="shared" si="12"/>
        <v>37345439.519999996</v>
      </c>
      <c r="BQ26" s="39">
        <f t="shared" si="13"/>
        <v>53134871.670000002</v>
      </c>
      <c r="BR26" s="39">
        <f t="shared" si="14"/>
        <v>12646801.209999999</v>
      </c>
      <c r="BS26" s="39">
        <f t="shared" si="15"/>
        <v>30358425.099999998</v>
      </c>
      <c r="BT26" s="39">
        <f t="shared" si="16"/>
        <v>5080078.17</v>
      </c>
      <c r="BU26" s="39">
        <f t="shared" si="17"/>
        <v>53134871.670000002</v>
      </c>
    </row>
    <row r="27" spans="1:73" s="40" customFormat="1" ht="15.75" x14ac:dyDescent="0.25">
      <c r="A27" s="59" t="s">
        <v>146</v>
      </c>
      <c r="B27" s="60" t="s">
        <v>147</v>
      </c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5">
        <f t="shared" si="8"/>
        <v>0</v>
      </c>
      <c r="BK27" s="41">
        <v>12479.05</v>
      </c>
      <c r="BL27" s="37">
        <f t="shared" si="9"/>
        <v>0</v>
      </c>
      <c r="BM27" s="38">
        <v>1.05</v>
      </c>
      <c r="BN27" s="39">
        <f t="shared" si="10"/>
        <v>0</v>
      </c>
      <c r="BO27" s="39">
        <f t="shared" si="11"/>
        <v>0</v>
      </c>
      <c r="BP27" s="39">
        <f t="shared" si="12"/>
        <v>0</v>
      </c>
      <c r="BQ27" s="39">
        <f t="shared" si="13"/>
        <v>0</v>
      </c>
      <c r="BR27" s="39">
        <f t="shared" si="14"/>
        <v>0</v>
      </c>
      <c r="BS27" s="39">
        <f t="shared" si="15"/>
        <v>0</v>
      </c>
      <c r="BT27" s="39">
        <f t="shared" si="16"/>
        <v>0</v>
      </c>
      <c r="BU27" s="39">
        <f t="shared" si="17"/>
        <v>0</v>
      </c>
    </row>
    <row r="28" spans="1:73" s="40" customFormat="1" ht="15.75" x14ac:dyDescent="0.25">
      <c r="A28" s="59" t="s">
        <v>148</v>
      </c>
      <c r="B28" s="61" t="s">
        <v>149</v>
      </c>
      <c r="C28" s="32" t="s">
        <v>115</v>
      </c>
      <c r="D28" s="32">
        <v>31.604999999999997</v>
      </c>
      <c r="E28" s="32">
        <v>32.936507477235324</v>
      </c>
      <c r="F28" s="32">
        <v>45.286500555117797</v>
      </c>
      <c r="G28" s="32">
        <v>56.154460597147136</v>
      </c>
      <c r="H28" s="32">
        <v>31.604999999999997</v>
      </c>
      <c r="I28" s="32">
        <v>53.454573321395671</v>
      </c>
      <c r="J28" s="32">
        <v>31.604999999999997</v>
      </c>
      <c r="K28" s="32">
        <v>35.646423386039061</v>
      </c>
      <c r="L28" s="32">
        <v>31.604999999999997</v>
      </c>
      <c r="M28" s="32">
        <v>31.604999999999997</v>
      </c>
      <c r="N28" s="32">
        <v>31.604999999999997</v>
      </c>
      <c r="O28" s="32">
        <v>31.604999999999997</v>
      </c>
      <c r="P28" s="32">
        <v>31.604999999999997</v>
      </c>
      <c r="Q28" s="32">
        <v>31.604999999999997</v>
      </c>
      <c r="R28" s="32">
        <v>31.604999999999997</v>
      </c>
      <c r="S28" s="32">
        <v>31.604999999999997</v>
      </c>
      <c r="T28" s="32">
        <v>31.604999999999997</v>
      </c>
      <c r="U28" s="32">
        <v>31.604999999999997</v>
      </c>
      <c r="V28" s="32">
        <v>31.604999999999997</v>
      </c>
      <c r="W28" s="32">
        <v>31.604999999999997</v>
      </c>
      <c r="X28" s="32">
        <v>31.92971478011216</v>
      </c>
      <c r="Y28" s="32">
        <v>31.604999999999997</v>
      </c>
      <c r="Z28" s="32">
        <v>35.646423386039061</v>
      </c>
      <c r="AA28" s="32">
        <v>33.305313939067858</v>
      </c>
      <c r="AB28" s="32">
        <v>31.604999999999997</v>
      </c>
      <c r="AC28" s="32">
        <v>32.936507477235324</v>
      </c>
      <c r="AD28" s="34">
        <v>11.129999999999999</v>
      </c>
      <c r="AE28" s="34">
        <v>11.129999999999999</v>
      </c>
      <c r="AF28" s="34">
        <v>11.129999999999999</v>
      </c>
      <c r="AG28" s="34">
        <v>11.129999999999999</v>
      </c>
      <c r="AH28" s="34">
        <v>11.129999999999999</v>
      </c>
      <c r="AI28" s="34">
        <v>11.129999999999999</v>
      </c>
      <c r="AJ28" s="34">
        <v>11.129999999999999</v>
      </c>
      <c r="AK28" s="34">
        <v>11.129999999999999</v>
      </c>
      <c r="AL28" s="34">
        <v>11.129999999999999</v>
      </c>
      <c r="AM28" s="34">
        <v>11.129999999999999</v>
      </c>
      <c r="AN28" s="34">
        <v>11.129999999999999</v>
      </c>
      <c r="AO28" s="34">
        <v>11.129999999999999</v>
      </c>
      <c r="AP28" s="34">
        <v>11.129999999999999</v>
      </c>
      <c r="AQ28" s="34">
        <v>11.129999999999999</v>
      </c>
      <c r="AR28" s="34">
        <v>11.129999999999999</v>
      </c>
      <c r="AS28" s="34">
        <v>11.129999999999999</v>
      </c>
      <c r="AT28" s="34">
        <v>11.129999999999999</v>
      </c>
      <c r="AU28" s="34">
        <v>11.129999999999999</v>
      </c>
      <c r="AV28" s="34">
        <v>22.259999999999998</v>
      </c>
      <c r="AW28" s="34">
        <v>15.855</v>
      </c>
      <c r="AX28" s="34">
        <v>11.129999999999999</v>
      </c>
      <c r="AY28" s="34">
        <v>11.129999999999999</v>
      </c>
      <c r="AZ28" s="34">
        <v>11.129999999999999</v>
      </c>
      <c r="BA28" s="34">
        <v>11.129999999999999</v>
      </c>
      <c r="BB28" s="34">
        <v>11.129999999999999</v>
      </c>
      <c r="BC28" s="34">
        <v>22.259999999999998</v>
      </c>
      <c r="BD28" s="34"/>
      <c r="BE28" s="34"/>
      <c r="BF28" s="34"/>
      <c r="BG28" s="34"/>
      <c r="BH28" s="34"/>
      <c r="BI28" s="34"/>
      <c r="BJ28" s="35">
        <f t="shared" si="8"/>
        <v>1271</v>
      </c>
      <c r="BK28" s="41">
        <v>6264</v>
      </c>
      <c r="BL28" s="37">
        <f t="shared" si="9"/>
        <v>7961544</v>
      </c>
      <c r="BM28" s="38">
        <v>1.05</v>
      </c>
      <c r="BN28" s="39">
        <f t="shared" si="10"/>
        <v>219240</v>
      </c>
      <c r="BO28" s="39">
        <f t="shared" si="11"/>
        <v>219240</v>
      </c>
      <c r="BP28" s="39">
        <f t="shared" si="12"/>
        <v>300672</v>
      </c>
      <c r="BQ28" s="39">
        <f t="shared" si="13"/>
        <v>206712</v>
      </c>
      <c r="BR28" s="39">
        <f t="shared" si="14"/>
        <v>231768</v>
      </c>
      <c r="BS28" s="39">
        <f t="shared" si="15"/>
        <v>206712</v>
      </c>
      <c r="BT28" s="39">
        <f t="shared" si="16"/>
        <v>369576</v>
      </c>
      <c r="BU28" s="39">
        <f t="shared" si="17"/>
        <v>206712</v>
      </c>
    </row>
    <row r="29" spans="1:73" s="40" customFormat="1" ht="15.75" x14ac:dyDescent="0.25">
      <c r="A29" s="59" t="s">
        <v>150</v>
      </c>
      <c r="B29" s="61" t="s">
        <v>151</v>
      </c>
      <c r="C29" s="32" t="s">
        <v>152</v>
      </c>
      <c r="D29" s="32">
        <v>954.39388314000007</v>
      </c>
      <c r="E29" s="32">
        <v>1372.386288992154</v>
      </c>
      <c r="F29" s="32">
        <v>1183.2123213245727</v>
      </c>
      <c r="G29" s="32">
        <v>827.99593842036188</v>
      </c>
      <c r="H29" s="32">
        <v>10192.605049260001</v>
      </c>
      <c r="I29" s="32">
        <v>398.27989209982366</v>
      </c>
      <c r="J29" s="32">
        <v>822.91718730000002</v>
      </c>
      <c r="K29" s="32">
        <v>406.0121314627587</v>
      </c>
      <c r="L29" s="32">
        <v>697.73625270000014</v>
      </c>
      <c r="M29" s="32">
        <v>3529.7016096149996</v>
      </c>
      <c r="N29" s="32">
        <v>1917.52663506</v>
      </c>
      <c r="O29" s="32">
        <v>2697.7035252600008</v>
      </c>
      <c r="P29" s="32">
        <v>1321.1152977000002</v>
      </c>
      <c r="Q29" s="32">
        <v>986.23483254000007</v>
      </c>
      <c r="R29" s="32">
        <v>882.61995330000013</v>
      </c>
      <c r="S29" s="32">
        <v>888.38700870000002</v>
      </c>
      <c r="T29" s="32">
        <v>1225.9383347399998</v>
      </c>
      <c r="U29" s="32">
        <v>818.54001930000004</v>
      </c>
      <c r="V29" s="32">
        <v>1067.6233591799999</v>
      </c>
      <c r="W29" s="32">
        <v>2826.8307660149999</v>
      </c>
      <c r="X29" s="32">
        <v>1151.3055231775206</v>
      </c>
      <c r="Y29" s="32">
        <v>1567.9369962599999</v>
      </c>
      <c r="Z29" s="32">
        <v>1291.8147563557563</v>
      </c>
      <c r="AA29" s="32">
        <v>2125.5938085252837</v>
      </c>
      <c r="AB29" s="32">
        <v>1526.9231193000001</v>
      </c>
      <c r="AC29" s="32">
        <v>1327.1534463921541</v>
      </c>
      <c r="AD29" s="34">
        <v>163.71212924</v>
      </c>
      <c r="AE29" s="34">
        <v>163.71212924</v>
      </c>
      <c r="AF29" s="34">
        <v>163.71212924</v>
      </c>
      <c r="AG29" s="34">
        <v>163.71212924</v>
      </c>
      <c r="AH29" s="34">
        <v>330.74616523999998</v>
      </c>
      <c r="AI29" s="34">
        <v>330.74616523999998</v>
      </c>
      <c r="AJ29" s="34">
        <v>330.74616523999998</v>
      </c>
      <c r="AK29" s="34">
        <v>330.74616523999998</v>
      </c>
      <c r="AL29" s="34">
        <v>330.74616523999998</v>
      </c>
      <c r="AM29" s="34">
        <v>330.74616523999998</v>
      </c>
      <c r="AN29" s="34">
        <v>163.71212924</v>
      </c>
      <c r="AO29" s="34">
        <v>163.71212924</v>
      </c>
      <c r="AP29" s="34">
        <v>163.71212924</v>
      </c>
      <c r="AQ29" s="34">
        <v>163.71212924</v>
      </c>
      <c r="AR29" s="34">
        <v>163.71212924</v>
      </c>
      <c r="AS29" s="34">
        <v>163.71212924</v>
      </c>
      <c r="AT29" s="34">
        <v>163.71212924</v>
      </c>
      <c r="AU29" s="34">
        <v>163.71212924</v>
      </c>
      <c r="AV29" s="34">
        <v>348.97329944000001</v>
      </c>
      <c r="AW29" s="34">
        <v>213.85006097231999</v>
      </c>
      <c r="AX29" s="34">
        <v>163.71212924</v>
      </c>
      <c r="AY29" s="34">
        <v>163.71212924</v>
      </c>
      <c r="AZ29" s="34">
        <v>163.71212924</v>
      </c>
      <c r="BA29" s="34">
        <v>163.71212924</v>
      </c>
      <c r="BB29" s="34">
        <v>163.71212924</v>
      </c>
      <c r="BC29" s="34">
        <v>348.97329944000001</v>
      </c>
      <c r="BD29" s="34"/>
      <c r="BE29" s="34"/>
      <c r="BF29" s="34"/>
      <c r="BG29" s="34"/>
      <c r="BH29" s="34"/>
      <c r="BI29" s="34"/>
      <c r="BJ29" s="35">
        <f t="shared" si="8"/>
        <v>52172</v>
      </c>
      <c r="BK29" s="41">
        <v>116469.32</v>
      </c>
      <c r="BL29" s="37">
        <f t="shared" si="9"/>
        <v>6076437363</v>
      </c>
      <c r="BM29" s="38">
        <v>1.05</v>
      </c>
      <c r="BN29" s="39">
        <f t="shared" si="10"/>
        <v>167832290.12</v>
      </c>
      <c r="BO29" s="39">
        <f t="shared" si="11"/>
        <v>167832290.12</v>
      </c>
      <c r="BP29" s="39">
        <f t="shared" si="12"/>
        <v>144654895.44</v>
      </c>
      <c r="BQ29" s="39">
        <f t="shared" si="13"/>
        <v>100629492.48</v>
      </c>
      <c r="BR29" s="39">
        <f t="shared" si="14"/>
        <v>49615930.32</v>
      </c>
      <c r="BS29" s="39">
        <f t="shared" si="15"/>
        <v>116702258.64</v>
      </c>
      <c r="BT29" s="39">
        <f t="shared" si="16"/>
        <v>101211839.08000001</v>
      </c>
      <c r="BU29" s="39">
        <f t="shared" si="17"/>
        <v>100629492.48</v>
      </c>
    </row>
    <row r="30" spans="1:73" s="40" customFormat="1" ht="31.5" x14ac:dyDescent="0.25">
      <c r="A30" s="62" t="s">
        <v>153</v>
      </c>
      <c r="B30" s="31" t="s">
        <v>154</v>
      </c>
      <c r="C30" s="32" t="s">
        <v>152</v>
      </c>
      <c r="D30" s="32">
        <v>0.37679999999999997</v>
      </c>
      <c r="E30" s="32">
        <v>0.58875</v>
      </c>
      <c r="F30" s="32">
        <v>0.47099999999999997</v>
      </c>
      <c r="G30" s="32">
        <v>9.4199999999999992E-2</v>
      </c>
      <c r="H30" s="32">
        <v>4.0034999999999998</v>
      </c>
      <c r="I30" s="32">
        <v>0.11774999999999999</v>
      </c>
      <c r="J30" s="32">
        <v>0.23549999999999999</v>
      </c>
      <c r="K30" s="32">
        <v>0.11774999999999999</v>
      </c>
      <c r="L30" s="32">
        <v>0.23549999999999999</v>
      </c>
      <c r="M30" s="32">
        <v>1.05975</v>
      </c>
      <c r="N30" s="32">
        <v>0.70649999999999991</v>
      </c>
      <c r="O30" s="32">
        <v>0.70649999999999991</v>
      </c>
      <c r="P30" s="32">
        <v>0.58875</v>
      </c>
      <c r="Q30" s="32">
        <v>0.37679999999999997</v>
      </c>
      <c r="R30" s="32">
        <v>0.23549999999999999</v>
      </c>
      <c r="S30" s="32">
        <v>0.23549999999999999</v>
      </c>
      <c r="T30" s="32">
        <v>0.37679999999999997</v>
      </c>
      <c r="U30" s="32">
        <v>0.23549999999999999</v>
      </c>
      <c r="V30" s="32">
        <v>0.28259999999999996</v>
      </c>
      <c r="W30" s="32">
        <v>1.05975</v>
      </c>
      <c r="X30" s="32">
        <v>0.37679999999999997</v>
      </c>
      <c r="Y30" s="32">
        <v>0.70649999999999991</v>
      </c>
      <c r="Z30" s="32">
        <v>0.58875</v>
      </c>
      <c r="AA30" s="32">
        <v>0.70649999999999991</v>
      </c>
      <c r="AB30" s="32">
        <v>0.58875</v>
      </c>
      <c r="AC30" s="32">
        <v>0.58875</v>
      </c>
      <c r="AD30" s="34">
        <v>9.4199999999999992E-2</v>
      </c>
      <c r="AE30" s="34">
        <v>9.4199999999999992E-2</v>
      </c>
      <c r="AF30" s="34">
        <v>9.4199999999999992E-2</v>
      </c>
      <c r="AG30" s="34">
        <v>9.4199999999999992E-2</v>
      </c>
      <c r="AH30" s="34">
        <v>9.4199999999999992E-2</v>
      </c>
      <c r="AI30" s="34">
        <v>9.4199999999999992E-2</v>
      </c>
      <c r="AJ30" s="34">
        <v>9.4199999999999992E-2</v>
      </c>
      <c r="AK30" s="34">
        <v>9.4199999999999992E-2</v>
      </c>
      <c r="AL30" s="34">
        <v>9.4199999999999992E-2</v>
      </c>
      <c r="AM30" s="34">
        <v>9.4199999999999992E-2</v>
      </c>
      <c r="AN30" s="34">
        <v>9.4199999999999992E-2</v>
      </c>
      <c r="AO30" s="34">
        <v>9.4199999999999992E-2</v>
      </c>
      <c r="AP30" s="34">
        <v>9.4199999999999992E-2</v>
      </c>
      <c r="AQ30" s="34">
        <v>9.4199999999999992E-2</v>
      </c>
      <c r="AR30" s="34">
        <v>9.4199999999999992E-2</v>
      </c>
      <c r="AS30" s="34">
        <v>9.4199999999999992E-2</v>
      </c>
      <c r="AT30" s="34">
        <v>9.4199999999999992E-2</v>
      </c>
      <c r="AU30" s="34">
        <v>9.4199999999999992E-2</v>
      </c>
      <c r="AV30" s="34">
        <v>0.18839999999999998</v>
      </c>
      <c r="AW30" s="34">
        <v>9.4199999999999992E-2</v>
      </c>
      <c r="AX30" s="34">
        <v>9.4199999999999992E-2</v>
      </c>
      <c r="AY30" s="34">
        <v>9.4199999999999992E-2</v>
      </c>
      <c r="AZ30" s="34">
        <v>9.4199999999999992E-2</v>
      </c>
      <c r="BA30" s="34">
        <v>9.4199999999999992E-2</v>
      </c>
      <c r="BB30" s="34">
        <v>9.4199999999999992E-2</v>
      </c>
      <c r="BC30" s="34">
        <v>0.18839999999999998</v>
      </c>
      <c r="BD30" s="34"/>
      <c r="BE30" s="34"/>
      <c r="BF30" s="34"/>
      <c r="BG30" s="34"/>
      <c r="BH30" s="34"/>
      <c r="BI30" s="34"/>
      <c r="BJ30" s="35">
        <f t="shared" si="8"/>
        <v>20</v>
      </c>
      <c r="BK30" s="41">
        <v>145421.4</v>
      </c>
      <c r="BL30" s="37">
        <f t="shared" si="9"/>
        <v>2908428</v>
      </c>
      <c r="BM30" s="38">
        <v>1.1000000000000001</v>
      </c>
      <c r="BN30" s="39">
        <f t="shared" si="10"/>
        <v>145421.4</v>
      </c>
      <c r="BO30" s="39">
        <f t="shared" si="11"/>
        <v>145421.4</v>
      </c>
      <c r="BP30" s="39">
        <f t="shared" si="12"/>
        <v>145421.4</v>
      </c>
      <c r="BQ30" s="39">
        <f t="shared" si="13"/>
        <v>0</v>
      </c>
      <c r="BR30" s="39">
        <f t="shared" si="14"/>
        <v>0</v>
      </c>
      <c r="BS30" s="39">
        <f t="shared" si="15"/>
        <v>0</v>
      </c>
      <c r="BT30" s="39">
        <f t="shared" si="16"/>
        <v>0</v>
      </c>
      <c r="BU30" s="39">
        <f t="shared" si="17"/>
        <v>0</v>
      </c>
    </row>
    <row r="31" spans="1:73" s="40" customFormat="1" ht="15.75" x14ac:dyDescent="0.25">
      <c r="A31" s="62" t="s">
        <v>155</v>
      </c>
      <c r="B31" s="31" t="s">
        <v>156</v>
      </c>
      <c r="C31" s="32" t="s">
        <v>152</v>
      </c>
      <c r="D31" s="32">
        <v>86.806200000000004</v>
      </c>
      <c r="E31" s="32">
        <v>136.5984</v>
      </c>
      <c r="F31" s="32">
        <v>98.208000000000013</v>
      </c>
      <c r="G31" s="32">
        <v>14.55636</v>
      </c>
      <c r="H31" s="32">
        <v>872.52227999999991</v>
      </c>
      <c r="I31" s="32">
        <v>26.884440000000001</v>
      </c>
      <c r="J31" s="32">
        <v>136.9332</v>
      </c>
      <c r="K31" s="32">
        <v>35.583659999999995</v>
      </c>
      <c r="L31" s="32">
        <v>100.161</v>
      </c>
      <c r="M31" s="32">
        <v>246.47976</v>
      </c>
      <c r="N31" s="32">
        <v>164.31984</v>
      </c>
      <c r="O31" s="32">
        <v>164.31984</v>
      </c>
      <c r="P31" s="32">
        <v>136.9332</v>
      </c>
      <c r="Q31" s="32">
        <v>86.806200000000004</v>
      </c>
      <c r="R31" s="32">
        <v>136.9332</v>
      </c>
      <c r="S31" s="32">
        <v>136.9332</v>
      </c>
      <c r="T31" s="32">
        <v>86.806200000000004</v>
      </c>
      <c r="U31" s="32">
        <v>136.9332</v>
      </c>
      <c r="V31" s="32">
        <v>65.104649999999992</v>
      </c>
      <c r="W31" s="32">
        <v>246.47976</v>
      </c>
      <c r="X31" s="32">
        <v>109.27871999999999</v>
      </c>
      <c r="Y31" s="32">
        <v>164.31984</v>
      </c>
      <c r="Z31" s="32">
        <v>135.59399999999999</v>
      </c>
      <c r="AA31" s="32">
        <v>164.31984</v>
      </c>
      <c r="AB31" s="32">
        <v>136.9332</v>
      </c>
      <c r="AC31" s="32">
        <v>136.5984</v>
      </c>
      <c r="AD31" s="34">
        <v>11.4948</v>
      </c>
      <c r="AE31" s="34">
        <v>11.4948</v>
      </c>
      <c r="AF31" s="34">
        <v>11.4948</v>
      </c>
      <c r="AG31" s="34">
        <v>11.4948</v>
      </c>
      <c r="AH31" s="34">
        <v>11.4948</v>
      </c>
      <c r="AI31" s="34">
        <v>11.4948</v>
      </c>
      <c r="AJ31" s="34">
        <v>11.4948</v>
      </c>
      <c r="AK31" s="34">
        <v>11.4948</v>
      </c>
      <c r="AL31" s="34">
        <v>11.4948</v>
      </c>
      <c r="AM31" s="34">
        <v>11.4948</v>
      </c>
      <c r="AN31" s="34">
        <v>11.4948</v>
      </c>
      <c r="AO31" s="34">
        <v>11.4948</v>
      </c>
      <c r="AP31" s="34">
        <v>11.4948</v>
      </c>
      <c r="AQ31" s="34">
        <v>11.4948</v>
      </c>
      <c r="AR31" s="34">
        <v>11.4948</v>
      </c>
      <c r="AS31" s="34">
        <v>11.4948</v>
      </c>
      <c r="AT31" s="34">
        <v>11.4948</v>
      </c>
      <c r="AU31" s="34">
        <v>11.4948</v>
      </c>
      <c r="AV31" s="34">
        <v>19.779240000000001</v>
      </c>
      <c r="AW31" s="34">
        <v>7.8282749999999997</v>
      </c>
      <c r="AX31" s="34">
        <v>11.4948</v>
      </c>
      <c r="AY31" s="34">
        <v>11.4948</v>
      </c>
      <c r="AZ31" s="34">
        <v>11.4948</v>
      </c>
      <c r="BA31" s="34">
        <v>11.4948</v>
      </c>
      <c r="BB31" s="34">
        <v>11.4948</v>
      </c>
      <c r="BC31" s="34">
        <v>19.779240000000001</v>
      </c>
      <c r="BD31" s="34"/>
      <c r="BE31" s="34"/>
      <c r="BF31" s="34"/>
      <c r="BG31" s="34"/>
      <c r="BH31" s="34"/>
      <c r="BI31" s="34"/>
      <c r="BJ31" s="35">
        <f t="shared" si="8"/>
        <v>4489</v>
      </c>
      <c r="BK31" s="41">
        <v>224657.89</v>
      </c>
      <c r="BL31" s="37">
        <f t="shared" si="9"/>
        <v>1008489268</v>
      </c>
      <c r="BM31" s="38">
        <v>1.05</v>
      </c>
      <c r="BN31" s="39">
        <f t="shared" si="10"/>
        <v>32126078.270000003</v>
      </c>
      <c r="BO31" s="39">
        <f t="shared" si="11"/>
        <v>32126078.270000003</v>
      </c>
      <c r="BP31" s="39">
        <f t="shared" si="12"/>
        <v>23139762.670000002</v>
      </c>
      <c r="BQ31" s="39">
        <f t="shared" si="13"/>
        <v>32350736.160000004</v>
      </c>
      <c r="BR31" s="39">
        <f t="shared" si="14"/>
        <v>8312341.9300000006</v>
      </c>
      <c r="BS31" s="39">
        <f t="shared" si="15"/>
        <v>20443867.990000002</v>
      </c>
      <c r="BT31" s="39">
        <f t="shared" si="16"/>
        <v>3369868.35</v>
      </c>
      <c r="BU31" s="39">
        <f t="shared" si="17"/>
        <v>32350736.160000004</v>
      </c>
    </row>
    <row r="32" spans="1:73" s="40" customFormat="1" ht="15.75" x14ac:dyDescent="0.25">
      <c r="A32" s="62" t="s">
        <v>157</v>
      </c>
      <c r="B32" s="31" t="s">
        <v>158</v>
      </c>
      <c r="C32" s="32" t="s">
        <v>152</v>
      </c>
      <c r="D32" s="32">
        <v>4738.9386000000004</v>
      </c>
      <c r="E32" s="32">
        <v>8275.974000000002</v>
      </c>
      <c r="F32" s="32">
        <v>5829.2047500000008</v>
      </c>
      <c r="G32" s="32">
        <v>791.76900000000001</v>
      </c>
      <c r="H32" s="32">
        <v>48416.87814999999</v>
      </c>
      <c r="I32" s="32">
        <v>1633.4679000000001</v>
      </c>
      <c r="J32" s="32">
        <v>8292.6870000000017</v>
      </c>
      <c r="K32" s="32">
        <v>1973.0267999999999</v>
      </c>
      <c r="L32" s="32">
        <v>5923.6732500000007</v>
      </c>
      <c r="M32" s="32">
        <v>14926.836600000002</v>
      </c>
      <c r="N32" s="32">
        <v>9951.224400000001</v>
      </c>
      <c r="O32" s="32">
        <v>9951.224400000001</v>
      </c>
      <c r="P32" s="32">
        <v>8292.6870000000017</v>
      </c>
      <c r="Q32" s="32">
        <v>4738.9386000000004</v>
      </c>
      <c r="R32" s="32">
        <v>8292.6870000000017</v>
      </c>
      <c r="S32" s="32">
        <v>8292.6870000000017</v>
      </c>
      <c r="T32" s="32">
        <v>4738.9386000000004</v>
      </c>
      <c r="U32" s="32">
        <v>8292.6870000000017</v>
      </c>
      <c r="V32" s="32">
        <v>3554.2039500000001</v>
      </c>
      <c r="W32" s="32">
        <v>14926.836600000002</v>
      </c>
      <c r="X32" s="32">
        <v>6634.1496000000006</v>
      </c>
      <c r="Y32" s="32">
        <v>9951.224400000001</v>
      </c>
      <c r="Z32" s="32">
        <v>8225.8349999999991</v>
      </c>
      <c r="AA32" s="32">
        <v>9951.224400000001</v>
      </c>
      <c r="AB32" s="32">
        <v>8292.6870000000017</v>
      </c>
      <c r="AC32" s="32">
        <v>8275.974000000002</v>
      </c>
      <c r="AD32" s="34">
        <v>537.95959999999991</v>
      </c>
      <c r="AE32" s="34">
        <v>537.95959999999991</v>
      </c>
      <c r="AF32" s="34">
        <v>537.95959999999991</v>
      </c>
      <c r="AG32" s="34">
        <v>537.95959999999991</v>
      </c>
      <c r="AH32" s="34">
        <v>537.95959999999991</v>
      </c>
      <c r="AI32" s="34">
        <v>537.95959999999991</v>
      </c>
      <c r="AJ32" s="34">
        <v>537.95959999999991</v>
      </c>
      <c r="AK32" s="34">
        <v>537.95959999999991</v>
      </c>
      <c r="AL32" s="34">
        <v>537.95959999999991</v>
      </c>
      <c r="AM32" s="34">
        <v>537.95959999999991</v>
      </c>
      <c r="AN32" s="34">
        <v>537.95959999999991</v>
      </c>
      <c r="AO32" s="34">
        <v>537.95959999999991</v>
      </c>
      <c r="AP32" s="34">
        <v>537.95959999999991</v>
      </c>
      <c r="AQ32" s="34">
        <v>537.95959999999991</v>
      </c>
      <c r="AR32" s="34">
        <v>537.95959999999991</v>
      </c>
      <c r="AS32" s="34">
        <v>537.95959999999991</v>
      </c>
      <c r="AT32" s="34">
        <v>537.95959999999991</v>
      </c>
      <c r="AU32" s="34">
        <v>537.95959999999991</v>
      </c>
      <c r="AV32" s="34">
        <v>1103.9315999999999</v>
      </c>
      <c r="AW32" s="34">
        <v>872.85733079999989</v>
      </c>
      <c r="AX32" s="34">
        <v>537.95959999999991</v>
      </c>
      <c r="AY32" s="34">
        <v>537.95959999999991</v>
      </c>
      <c r="AZ32" s="34">
        <v>537.95959999999991</v>
      </c>
      <c r="BA32" s="34">
        <v>537.95959999999991</v>
      </c>
      <c r="BB32" s="34">
        <v>537.95959999999991</v>
      </c>
      <c r="BC32" s="34">
        <v>1103.9315999999999</v>
      </c>
      <c r="BD32" s="34"/>
      <c r="BE32" s="34"/>
      <c r="BF32" s="34"/>
      <c r="BG32" s="34"/>
      <c r="BH32" s="34"/>
      <c r="BI32" s="34"/>
      <c r="BJ32" s="35">
        <f t="shared" si="8"/>
        <v>261050</v>
      </c>
      <c r="BK32" s="41">
        <v>1302.98</v>
      </c>
      <c r="BL32" s="37">
        <f t="shared" si="9"/>
        <v>340142929</v>
      </c>
      <c r="BM32" s="38">
        <v>1.05</v>
      </c>
      <c r="BN32" s="39">
        <f t="shared" si="10"/>
        <v>11322896.199999999</v>
      </c>
      <c r="BO32" s="39">
        <f t="shared" si="11"/>
        <v>11322896.199999999</v>
      </c>
      <c r="BP32" s="39">
        <f t="shared" si="12"/>
        <v>7975540.5800000001</v>
      </c>
      <c r="BQ32" s="39">
        <f t="shared" si="13"/>
        <v>11345046.859999999</v>
      </c>
      <c r="BR32" s="39">
        <f t="shared" si="14"/>
        <v>2699774.56</v>
      </c>
      <c r="BS32" s="39">
        <f t="shared" si="15"/>
        <v>6483628.4800000004</v>
      </c>
      <c r="BT32" s="39">
        <f t="shared" si="16"/>
        <v>1082776.3800000001</v>
      </c>
      <c r="BU32" s="39">
        <f t="shared" si="17"/>
        <v>11345046.859999999</v>
      </c>
    </row>
    <row r="33" spans="1:73" s="40" customFormat="1" ht="31.5" x14ac:dyDescent="0.25">
      <c r="A33" s="30" t="s">
        <v>159</v>
      </c>
      <c r="B33" s="49" t="s">
        <v>160</v>
      </c>
      <c r="C33" s="32" t="s">
        <v>161</v>
      </c>
      <c r="D33" s="32">
        <v>21.672000000000001</v>
      </c>
      <c r="E33" s="32">
        <v>22.585033698675648</v>
      </c>
      <c r="F33" s="32">
        <v>31.053600380652203</v>
      </c>
      <c r="G33" s="32">
        <v>38.505915838043748</v>
      </c>
      <c r="H33" s="32">
        <v>21.672000000000001</v>
      </c>
      <c r="I33" s="32">
        <v>36.654564563242751</v>
      </c>
      <c r="J33" s="32">
        <v>21.672000000000001</v>
      </c>
      <c r="K33" s="32">
        <v>24.443261750426785</v>
      </c>
      <c r="L33" s="32">
        <v>21.672000000000001</v>
      </c>
      <c r="M33" s="32">
        <v>21.672000000000001</v>
      </c>
      <c r="N33" s="32">
        <v>21.672000000000001</v>
      </c>
      <c r="O33" s="32">
        <v>21.672000000000001</v>
      </c>
      <c r="P33" s="32">
        <v>21.672000000000001</v>
      </c>
      <c r="Q33" s="32">
        <v>21.672000000000001</v>
      </c>
      <c r="R33" s="32">
        <v>21.672000000000001</v>
      </c>
      <c r="S33" s="32">
        <v>21.672000000000001</v>
      </c>
      <c r="T33" s="32">
        <v>21.672000000000001</v>
      </c>
      <c r="U33" s="32">
        <v>21.672000000000001</v>
      </c>
      <c r="V33" s="32">
        <v>21.672000000000001</v>
      </c>
      <c r="W33" s="32">
        <v>21.672000000000001</v>
      </c>
      <c r="X33" s="32">
        <v>21.894661563505483</v>
      </c>
      <c r="Y33" s="32">
        <v>21.672000000000001</v>
      </c>
      <c r="Z33" s="32">
        <v>24.443261750426785</v>
      </c>
      <c r="AA33" s="32">
        <v>22.837929558217965</v>
      </c>
      <c r="AB33" s="32">
        <v>21.672000000000001</v>
      </c>
      <c r="AC33" s="32">
        <v>22.585033698675648</v>
      </c>
      <c r="AD33" s="34">
        <v>7.4160000000000004</v>
      </c>
      <c r="AE33" s="34">
        <v>7.4160000000000004</v>
      </c>
      <c r="AF33" s="34">
        <v>7.4160000000000004</v>
      </c>
      <c r="AG33" s="34">
        <v>7.4160000000000004</v>
      </c>
      <c r="AH33" s="34">
        <v>7.4160000000000004</v>
      </c>
      <c r="AI33" s="34">
        <v>7.4160000000000004</v>
      </c>
      <c r="AJ33" s="34">
        <v>7.4160000000000004</v>
      </c>
      <c r="AK33" s="34">
        <v>7.4160000000000004</v>
      </c>
      <c r="AL33" s="34">
        <v>7.4160000000000004</v>
      </c>
      <c r="AM33" s="34">
        <v>7.4160000000000004</v>
      </c>
      <c r="AN33" s="34">
        <v>7.4160000000000004</v>
      </c>
      <c r="AO33" s="34">
        <v>7.4160000000000004</v>
      </c>
      <c r="AP33" s="34">
        <v>7.4160000000000004</v>
      </c>
      <c r="AQ33" s="34">
        <v>7.4160000000000004</v>
      </c>
      <c r="AR33" s="34">
        <v>7.4160000000000004</v>
      </c>
      <c r="AS33" s="34">
        <v>7.4160000000000004</v>
      </c>
      <c r="AT33" s="34">
        <v>7.4160000000000004</v>
      </c>
      <c r="AU33" s="34">
        <v>7.4160000000000004</v>
      </c>
      <c r="AV33" s="34">
        <v>14.832000000000001</v>
      </c>
      <c r="AW33" s="34">
        <v>10.656000000000001</v>
      </c>
      <c r="AX33" s="34">
        <v>7.4160000000000004</v>
      </c>
      <c r="AY33" s="34">
        <v>7.4160000000000004</v>
      </c>
      <c r="AZ33" s="34">
        <v>7.4160000000000004</v>
      </c>
      <c r="BA33" s="34">
        <v>7.4160000000000004</v>
      </c>
      <c r="BB33" s="34">
        <v>7.4160000000000004</v>
      </c>
      <c r="BC33" s="34">
        <v>14.832000000000001</v>
      </c>
      <c r="BD33" s="34"/>
      <c r="BE33" s="34"/>
      <c r="BF33" s="34"/>
      <c r="BG33" s="34"/>
      <c r="BH33" s="34"/>
      <c r="BI33" s="34"/>
      <c r="BJ33" s="35">
        <f t="shared" si="8"/>
        <v>907</v>
      </c>
      <c r="BK33" s="41">
        <v>6091.29</v>
      </c>
      <c r="BL33" s="37">
        <f t="shared" si="9"/>
        <v>5524800</v>
      </c>
      <c r="BM33" s="38">
        <v>1.1000000000000001</v>
      </c>
      <c r="BN33" s="39">
        <f t="shared" si="10"/>
        <v>152282.25</v>
      </c>
      <c r="BO33" s="39">
        <f t="shared" si="11"/>
        <v>152282.25</v>
      </c>
      <c r="BP33" s="39">
        <f t="shared" si="12"/>
        <v>207103.86</v>
      </c>
      <c r="BQ33" s="39">
        <f t="shared" si="13"/>
        <v>146190.96</v>
      </c>
      <c r="BR33" s="39">
        <f t="shared" si="14"/>
        <v>164464.82999999999</v>
      </c>
      <c r="BS33" s="39">
        <f t="shared" si="15"/>
        <v>146190.96</v>
      </c>
      <c r="BT33" s="39">
        <f t="shared" si="16"/>
        <v>255834.18</v>
      </c>
      <c r="BU33" s="39">
        <f t="shared" si="17"/>
        <v>146190.96</v>
      </c>
    </row>
    <row r="34" spans="1:73" s="40" customFormat="1" ht="31.5" x14ac:dyDescent="0.25">
      <c r="A34" s="30" t="s">
        <v>162</v>
      </c>
      <c r="B34" s="49" t="s">
        <v>163</v>
      </c>
      <c r="C34" s="32" t="s">
        <v>161</v>
      </c>
      <c r="D34" s="32">
        <v>40.047839999999994</v>
      </c>
      <c r="E34" s="32">
        <v>49.499519999999997</v>
      </c>
      <c r="F34" s="32">
        <v>49.499519999999997</v>
      </c>
      <c r="G34" s="32">
        <v>11.692799999999998</v>
      </c>
      <c r="H34" s="32">
        <v>323.59823999999998</v>
      </c>
      <c r="I34" s="32">
        <v>11.692799999999998</v>
      </c>
      <c r="J34" s="32">
        <v>21.144479999999998</v>
      </c>
      <c r="K34" s="32">
        <v>11.692799999999998</v>
      </c>
      <c r="L34" s="32">
        <v>21.144479999999998</v>
      </c>
      <c r="M34" s="32">
        <v>87.306240000000003</v>
      </c>
      <c r="N34" s="32">
        <v>58.951199999999993</v>
      </c>
      <c r="O34" s="32">
        <v>58.951199999999993</v>
      </c>
      <c r="P34" s="32">
        <v>49.499519999999997</v>
      </c>
      <c r="Q34" s="32">
        <v>40.047839999999994</v>
      </c>
      <c r="R34" s="32">
        <v>21.144479999999998</v>
      </c>
      <c r="S34" s="32">
        <v>21.144479999999998</v>
      </c>
      <c r="T34" s="32">
        <v>40.047839999999994</v>
      </c>
      <c r="U34" s="32">
        <v>21.144479999999998</v>
      </c>
      <c r="V34" s="32">
        <v>30.596159999999998</v>
      </c>
      <c r="W34" s="32">
        <v>87.306240000000003</v>
      </c>
      <c r="X34" s="32">
        <v>40.047839999999994</v>
      </c>
      <c r="Y34" s="32">
        <v>58.951199999999993</v>
      </c>
      <c r="Z34" s="32">
        <v>49.499519999999997</v>
      </c>
      <c r="AA34" s="32">
        <v>68.402879999999996</v>
      </c>
      <c r="AB34" s="32">
        <v>49.499519999999997</v>
      </c>
      <c r="AC34" s="32">
        <v>49.499519999999997</v>
      </c>
      <c r="AD34" s="34">
        <v>8.2309200000000011</v>
      </c>
      <c r="AE34" s="34">
        <v>8.2309200000000011</v>
      </c>
      <c r="AF34" s="34">
        <v>8.2309200000000011</v>
      </c>
      <c r="AG34" s="34">
        <v>8.2309200000000011</v>
      </c>
      <c r="AH34" s="34">
        <v>8.2309200000000011</v>
      </c>
      <c r="AI34" s="34">
        <v>8.2309200000000011</v>
      </c>
      <c r="AJ34" s="34">
        <v>8.2309200000000011</v>
      </c>
      <c r="AK34" s="34">
        <v>8.2309200000000011</v>
      </c>
      <c r="AL34" s="34">
        <v>8.2309200000000011</v>
      </c>
      <c r="AM34" s="34">
        <v>8.2309200000000011</v>
      </c>
      <c r="AN34" s="34">
        <v>8.2309200000000011</v>
      </c>
      <c r="AO34" s="34">
        <v>8.2309200000000011</v>
      </c>
      <c r="AP34" s="34">
        <v>8.2309200000000011</v>
      </c>
      <c r="AQ34" s="34">
        <v>8.2309200000000011</v>
      </c>
      <c r="AR34" s="34">
        <v>8.2309200000000011</v>
      </c>
      <c r="AS34" s="34">
        <v>8.2309200000000011</v>
      </c>
      <c r="AT34" s="34">
        <v>8.2309200000000011</v>
      </c>
      <c r="AU34" s="34">
        <v>8.2309200000000011</v>
      </c>
      <c r="AV34" s="34">
        <v>16.461840000000002</v>
      </c>
      <c r="AW34" s="34">
        <v>8.2309200000000011</v>
      </c>
      <c r="AX34" s="34">
        <v>8.2309200000000011</v>
      </c>
      <c r="AY34" s="34">
        <v>8.2309200000000011</v>
      </c>
      <c r="AZ34" s="34">
        <v>8.2309200000000011</v>
      </c>
      <c r="BA34" s="34">
        <v>8.2309200000000011</v>
      </c>
      <c r="BB34" s="34">
        <v>8.2309200000000011</v>
      </c>
      <c r="BC34" s="34">
        <v>16.461840000000002</v>
      </c>
      <c r="BD34" s="34"/>
      <c r="BE34" s="34"/>
      <c r="BF34" s="34"/>
      <c r="BG34" s="34"/>
      <c r="BH34" s="34"/>
      <c r="BI34" s="34"/>
      <c r="BJ34" s="35">
        <f t="shared" si="8"/>
        <v>1763</v>
      </c>
      <c r="BK34" s="41">
        <v>4418.3100000000004</v>
      </c>
      <c r="BL34" s="37">
        <f t="shared" si="9"/>
        <v>7789481</v>
      </c>
      <c r="BM34" s="38">
        <v>1.1000000000000001</v>
      </c>
      <c r="BN34" s="39">
        <f t="shared" si="10"/>
        <v>238588.74000000002</v>
      </c>
      <c r="BO34" s="39">
        <f t="shared" si="11"/>
        <v>238588.74000000002</v>
      </c>
      <c r="BP34" s="39">
        <f t="shared" si="12"/>
        <v>238588.74000000002</v>
      </c>
      <c r="BQ34" s="39">
        <f t="shared" si="13"/>
        <v>101621.13</v>
      </c>
      <c r="BR34" s="39">
        <f t="shared" si="14"/>
        <v>57438.030000000006</v>
      </c>
      <c r="BS34" s="39">
        <f t="shared" si="15"/>
        <v>194405.64</v>
      </c>
      <c r="BT34" s="39">
        <f t="shared" si="16"/>
        <v>57438.030000000006</v>
      </c>
      <c r="BU34" s="39">
        <f t="shared" si="17"/>
        <v>101621.13</v>
      </c>
    </row>
    <row r="35" spans="1:73" s="56" customFormat="1" ht="47.25" x14ac:dyDescent="0.25">
      <c r="A35" s="63" t="s">
        <v>164</v>
      </c>
      <c r="B35" s="58" t="s">
        <v>165</v>
      </c>
      <c r="C35" s="53" t="s">
        <v>166</v>
      </c>
      <c r="D35" s="64">
        <v>1264800</v>
      </c>
      <c r="E35" s="64">
        <v>1581000</v>
      </c>
      <c r="F35" s="64">
        <v>1581000</v>
      </c>
      <c r="G35" s="64">
        <v>316200</v>
      </c>
      <c r="H35" s="64">
        <v>7694200</v>
      </c>
      <c r="I35" s="64">
        <v>316200</v>
      </c>
      <c r="J35" s="64">
        <v>1581000</v>
      </c>
      <c r="K35" s="64">
        <v>316200</v>
      </c>
      <c r="L35" s="64">
        <v>1581000</v>
      </c>
      <c r="M35" s="64">
        <v>2845800</v>
      </c>
      <c r="N35" s="64">
        <v>1897200</v>
      </c>
      <c r="O35" s="64">
        <v>1897200</v>
      </c>
      <c r="P35" s="64">
        <v>1581000</v>
      </c>
      <c r="Q35" s="64">
        <v>1264800</v>
      </c>
      <c r="R35" s="64">
        <v>1581000</v>
      </c>
      <c r="S35" s="64">
        <v>1581000</v>
      </c>
      <c r="T35" s="64">
        <v>1264800</v>
      </c>
      <c r="U35" s="64">
        <v>1581000</v>
      </c>
      <c r="V35" s="64">
        <v>948600</v>
      </c>
      <c r="W35" s="64">
        <v>2845800</v>
      </c>
      <c r="X35" s="64">
        <v>1264800</v>
      </c>
      <c r="Y35" s="64">
        <v>1897200</v>
      </c>
      <c r="Z35" s="64">
        <v>1581000</v>
      </c>
      <c r="AA35" s="64">
        <v>1897200</v>
      </c>
      <c r="AB35" s="64">
        <v>1581000</v>
      </c>
      <c r="AC35" s="64">
        <v>1581000</v>
      </c>
      <c r="AD35" s="34">
        <v>210800</v>
      </c>
      <c r="AE35" s="34">
        <v>210800</v>
      </c>
      <c r="AF35" s="34">
        <v>210800</v>
      </c>
      <c r="AG35" s="34">
        <v>210800</v>
      </c>
      <c r="AH35" s="34">
        <v>210800</v>
      </c>
      <c r="AI35" s="34">
        <v>210800</v>
      </c>
      <c r="AJ35" s="34">
        <v>210800</v>
      </c>
      <c r="AK35" s="34">
        <v>210800</v>
      </c>
      <c r="AL35" s="34">
        <v>210800</v>
      </c>
      <c r="AM35" s="34">
        <v>210800</v>
      </c>
      <c r="AN35" s="34">
        <v>210800</v>
      </c>
      <c r="AO35" s="34">
        <v>210800</v>
      </c>
      <c r="AP35" s="34">
        <v>210800</v>
      </c>
      <c r="AQ35" s="34">
        <v>210800</v>
      </c>
      <c r="AR35" s="34">
        <v>210800</v>
      </c>
      <c r="AS35" s="34">
        <v>210800</v>
      </c>
      <c r="AT35" s="34">
        <v>210800</v>
      </c>
      <c r="AU35" s="34">
        <v>210800</v>
      </c>
      <c r="AV35" s="34">
        <v>210800</v>
      </c>
      <c r="AW35" s="34">
        <v>297600</v>
      </c>
      <c r="AX35" s="34">
        <v>210800</v>
      </c>
      <c r="AY35" s="34">
        <v>210800</v>
      </c>
      <c r="AZ35" s="34">
        <v>210800</v>
      </c>
      <c r="BA35" s="34">
        <v>210800</v>
      </c>
      <c r="BB35" s="34">
        <v>210800</v>
      </c>
      <c r="BC35" s="34">
        <v>210800</v>
      </c>
      <c r="BD35" s="34"/>
      <c r="BE35" s="34"/>
      <c r="BF35" s="34"/>
      <c r="BG35" s="34"/>
      <c r="BH35" s="34"/>
      <c r="BI35" s="34"/>
      <c r="BJ35" s="35">
        <f t="shared" si="8"/>
        <v>53434080</v>
      </c>
      <c r="BK35" s="41">
        <v>4.45</v>
      </c>
      <c r="BL35" s="37">
        <f t="shared" si="9"/>
        <v>237781656</v>
      </c>
      <c r="BM35" s="54">
        <v>1.05</v>
      </c>
      <c r="BN35" s="39">
        <f t="shared" si="10"/>
        <v>7387222.5</v>
      </c>
      <c r="BO35" s="39">
        <f t="shared" si="11"/>
        <v>7387222.5</v>
      </c>
      <c r="BP35" s="39">
        <f t="shared" si="12"/>
        <v>7387222.5</v>
      </c>
      <c r="BQ35" s="39">
        <f t="shared" si="13"/>
        <v>7387222.5</v>
      </c>
      <c r="BR35" s="39">
        <f t="shared" si="14"/>
        <v>1477444.5</v>
      </c>
      <c r="BS35" s="39">
        <f t="shared" si="15"/>
        <v>5909778</v>
      </c>
      <c r="BT35" s="39">
        <f t="shared" si="16"/>
        <v>1477444.5</v>
      </c>
      <c r="BU35" s="39">
        <f t="shared" si="17"/>
        <v>7387222.5</v>
      </c>
    </row>
    <row r="36" spans="1:73" s="40" customFormat="1" ht="31.5" x14ac:dyDescent="0.25">
      <c r="A36" s="30" t="s">
        <v>167</v>
      </c>
      <c r="B36" s="31" t="s">
        <v>168</v>
      </c>
      <c r="C36" s="32" t="s">
        <v>166</v>
      </c>
      <c r="D36" s="65">
        <v>180600</v>
      </c>
      <c r="E36" s="65">
        <v>188208.61415563041</v>
      </c>
      <c r="F36" s="65">
        <v>258780.00317210169</v>
      </c>
      <c r="G36" s="65">
        <v>320882.63198369794</v>
      </c>
      <c r="H36" s="65">
        <v>180600</v>
      </c>
      <c r="I36" s="65">
        <v>305454.70469368959</v>
      </c>
      <c r="J36" s="65">
        <v>180600</v>
      </c>
      <c r="K36" s="65">
        <v>203693.8479202232</v>
      </c>
      <c r="L36" s="65">
        <v>180600</v>
      </c>
      <c r="M36" s="65">
        <v>180600</v>
      </c>
      <c r="N36" s="65">
        <v>180600</v>
      </c>
      <c r="O36" s="65">
        <v>180600</v>
      </c>
      <c r="P36" s="65">
        <v>180600</v>
      </c>
      <c r="Q36" s="65">
        <v>180600</v>
      </c>
      <c r="R36" s="65">
        <v>180600</v>
      </c>
      <c r="S36" s="65">
        <v>180600</v>
      </c>
      <c r="T36" s="65">
        <v>180600</v>
      </c>
      <c r="U36" s="65">
        <v>180600</v>
      </c>
      <c r="V36" s="65">
        <v>180600</v>
      </c>
      <c r="W36" s="65">
        <v>180600</v>
      </c>
      <c r="X36" s="65">
        <v>182455.51302921234</v>
      </c>
      <c r="Y36" s="65">
        <v>180600</v>
      </c>
      <c r="Z36" s="65">
        <v>203693.8479202232</v>
      </c>
      <c r="AA36" s="65">
        <v>190316.07965181637</v>
      </c>
      <c r="AB36" s="65">
        <v>180600</v>
      </c>
      <c r="AC36" s="65">
        <v>188208.61415563041</v>
      </c>
      <c r="AD36" s="34">
        <v>61800</v>
      </c>
      <c r="AE36" s="34">
        <v>61800</v>
      </c>
      <c r="AF36" s="34">
        <v>61800</v>
      </c>
      <c r="AG36" s="34">
        <v>61800</v>
      </c>
      <c r="AH36" s="34">
        <v>61800</v>
      </c>
      <c r="AI36" s="34">
        <v>61800</v>
      </c>
      <c r="AJ36" s="34">
        <v>61800</v>
      </c>
      <c r="AK36" s="34">
        <v>61800</v>
      </c>
      <c r="AL36" s="34">
        <v>61800</v>
      </c>
      <c r="AM36" s="34">
        <v>61800</v>
      </c>
      <c r="AN36" s="34">
        <v>61800</v>
      </c>
      <c r="AO36" s="34">
        <v>61800</v>
      </c>
      <c r="AP36" s="34">
        <v>61800</v>
      </c>
      <c r="AQ36" s="34">
        <v>61800</v>
      </c>
      <c r="AR36" s="34">
        <v>61800</v>
      </c>
      <c r="AS36" s="34">
        <v>61800</v>
      </c>
      <c r="AT36" s="34">
        <v>61800</v>
      </c>
      <c r="AU36" s="34">
        <v>61800</v>
      </c>
      <c r="AV36" s="34">
        <v>123600</v>
      </c>
      <c r="AW36" s="34">
        <v>88800</v>
      </c>
      <c r="AX36" s="34">
        <v>61800</v>
      </c>
      <c r="AY36" s="34">
        <v>61800</v>
      </c>
      <c r="AZ36" s="34">
        <v>61800</v>
      </c>
      <c r="BA36" s="34">
        <v>61800</v>
      </c>
      <c r="BB36" s="34">
        <v>61800</v>
      </c>
      <c r="BC36" s="34">
        <v>123600</v>
      </c>
      <c r="BD36" s="34"/>
      <c r="BE36" s="34"/>
      <c r="BF36" s="34"/>
      <c r="BG36" s="34"/>
      <c r="BH36" s="34"/>
      <c r="BI36" s="34"/>
      <c r="BJ36" s="35">
        <f t="shared" si="8"/>
        <v>7556223</v>
      </c>
      <c r="BK36" s="41">
        <v>3.85</v>
      </c>
      <c r="BL36" s="37">
        <f t="shared" si="9"/>
        <v>29091459</v>
      </c>
      <c r="BM36" s="38">
        <v>1.1000000000000001</v>
      </c>
      <c r="BN36" s="39">
        <f t="shared" si="10"/>
        <v>797061.65</v>
      </c>
      <c r="BO36" s="39">
        <f t="shared" si="11"/>
        <v>797061.65</v>
      </c>
      <c r="BP36" s="39">
        <f t="shared" si="12"/>
        <v>1095933.3</v>
      </c>
      <c r="BQ36" s="39">
        <f t="shared" si="13"/>
        <v>764841</v>
      </c>
      <c r="BR36" s="39">
        <f t="shared" si="14"/>
        <v>862642.55</v>
      </c>
      <c r="BS36" s="39">
        <f t="shared" si="15"/>
        <v>764841</v>
      </c>
      <c r="BT36" s="39">
        <f t="shared" si="16"/>
        <v>1358938.35</v>
      </c>
      <c r="BU36" s="39">
        <f t="shared" si="17"/>
        <v>764841</v>
      </c>
    </row>
    <row r="37" spans="1:73" s="40" customFormat="1" ht="15.75" x14ac:dyDescent="0.25">
      <c r="A37" s="66" t="s">
        <v>169</v>
      </c>
      <c r="B37" s="58" t="s">
        <v>170</v>
      </c>
      <c r="C37" s="32" t="s">
        <v>171</v>
      </c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5"/>
      <c r="AC37" s="65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  <c r="BE37" s="34"/>
      <c r="BF37" s="34"/>
      <c r="BG37" s="34"/>
      <c r="BH37" s="34"/>
      <c r="BI37" s="34"/>
      <c r="BJ37" s="35">
        <f t="shared" si="8"/>
        <v>0</v>
      </c>
      <c r="BK37" s="41">
        <v>733923.04</v>
      </c>
      <c r="BL37" s="37">
        <f t="shared" si="9"/>
        <v>0</v>
      </c>
      <c r="BM37" s="38">
        <v>1</v>
      </c>
      <c r="BN37" s="39">
        <f t="shared" si="10"/>
        <v>0</v>
      </c>
      <c r="BO37" s="39">
        <f t="shared" si="11"/>
        <v>0</v>
      </c>
      <c r="BP37" s="39">
        <f t="shared" si="12"/>
        <v>0</v>
      </c>
      <c r="BQ37" s="39">
        <f t="shared" si="13"/>
        <v>0</v>
      </c>
      <c r="BR37" s="39">
        <f t="shared" si="14"/>
        <v>0</v>
      </c>
      <c r="BS37" s="39">
        <f t="shared" si="15"/>
        <v>0</v>
      </c>
      <c r="BT37" s="39">
        <f t="shared" si="16"/>
        <v>0</v>
      </c>
      <c r="BU37" s="39">
        <f t="shared" si="17"/>
        <v>0</v>
      </c>
    </row>
    <row r="38" spans="1:73" s="40" customFormat="1" ht="15.75" x14ac:dyDescent="0.25">
      <c r="A38" s="66" t="s">
        <v>172</v>
      </c>
      <c r="B38" s="58" t="s">
        <v>173</v>
      </c>
      <c r="C38" s="32" t="s">
        <v>171</v>
      </c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  <c r="AA38" s="67"/>
      <c r="AB38" s="67"/>
      <c r="AC38" s="67"/>
      <c r="AD38" s="67">
        <v>3</v>
      </c>
      <c r="AE38" s="67">
        <v>3</v>
      </c>
      <c r="AF38" s="67">
        <v>3</v>
      </c>
      <c r="AG38" s="67">
        <v>3</v>
      </c>
      <c r="AH38" s="67">
        <v>3</v>
      </c>
      <c r="AI38" s="67">
        <v>3</v>
      </c>
      <c r="AJ38" s="67">
        <v>3</v>
      </c>
      <c r="AK38" s="67">
        <v>3</v>
      </c>
      <c r="AL38" s="67">
        <v>3</v>
      </c>
      <c r="AM38" s="67">
        <v>3</v>
      </c>
      <c r="AN38" s="67">
        <v>3</v>
      </c>
      <c r="AO38" s="67">
        <v>3</v>
      </c>
      <c r="AP38" s="67">
        <v>3</v>
      </c>
      <c r="AQ38" s="67">
        <v>3</v>
      </c>
      <c r="AR38" s="67">
        <v>3</v>
      </c>
      <c r="AS38" s="67">
        <v>3</v>
      </c>
      <c r="AT38" s="67">
        <v>3</v>
      </c>
      <c r="AU38" s="67">
        <v>3</v>
      </c>
      <c r="AV38" s="67">
        <v>3</v>
      </c>
      <c r="AW38" s="67">
        <v>3</v>
      </c>
      <c r="AX38" s="67">
        <v>3</v>
      </c>
      <c r="AY38" s="67">
        <v>3</v>
      </c>
      <c r="AZ38" s="67">
        <v>3</v>
      </c>
      <c r="BA38" s="67">
        <v>3</v>
      </c>
      <c r="BB38" s="67">
        <v>3</v>
      </c>
      <c r="BC38" s="67">
        <v>3</v>
      </c>
      <c r="BD38" s="34"/>
      <c r="BE38" s="34"/>
      <c r="BF38" s="34"/>
      <c r="BG38" s="34"/>
      <c r="BH38" s="34"/>
      <c r="BI38" s="34"/>
      <c r="BJ38" s="35">
        <f t="shared" si="8"/>
        <v>78</v>
      </c>
      <c r="BK38" s="41">
        <v>1123657.8500000001</v>
      </c>
      <c r="BL38" s="37">
        <f t="shared" si="9"/>
        <v>87645312</v>
      </c>
      <c r="BM38" s="38">
        <v>1</v>
      </c>
      <c r="BN38" s="39">
        <f t="shared" si="10"/>
        <v>0</v>
      </c>
      <c r="BO38" s="39">
        <f t="shared" si="11"/>
        <v>0</v>
      </c>
      <c r="BP38" s="39">
        <f t="shared" si="12"/>
        <v>0</v>
      </c>
      <c r="BQ38" s="39">
        <f t="shared" si="13"/>
        <v>0</v>
      </c>
      <c r="BR38" s="39">
        <f t="shared" si="14"/>
        <v>0</v>
      </c>
      <c r="BS38" s="39">
        <f t="shared" si="15"/>
        <v>0</v>
      </c>
      <c r="BT38" s="39">
        <f t="shared" si="16"/>
        <v>0</v>
      </c>
      <c r="BU38" s="39">
        <f t="shared" si="17"/>
        <v>0</v>
      </c>
    </row>
    <row r="39" spans="1:73" s="68" customFormat="1" ht="15.75" x14ac:dyDescent="0.25">
      <c r="A39" s="30" t="s">
        <v>174</v>
      </c>
      <c r="B39" s="58" t="s">
        <v>175</v>
      </c>
      <c r="C39" s="32" t="s">
        <v>171</v>
      </c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32">
        <v>1</v>
      </c>
      <c r="AE39" s="32">
        <v>1</v>
      </c>
      <c r="AF39" s="32">
        <v>1</v>
      </c>
      <c r="AG39" s="32">
        <v>1</v>
      </c>
      <c r="AH39" s="32">
        <v>1</v>
      </c>
      <c r="AI39" s="32">
        <v>1</v>
      </c>
      <c r="AJ39" s="32">
        <v>1</v>
      </c>
      <c r="AK39" s="32">
        <v>1</v>
      </c>
      <c r="AL39" s="32">
        <v>1</v>
      </c>
      <c r="AM39" s="32">
        <v>1</v>
      </c>
      <c r="AN39" s="32">
        <v>1</v>
      </c>
      <c r="AO39" s="32">
        <v>1</v>
      </c>
      <c r="AP39" s="32">
        <v>1</v>
      </c>
      <c r="AQ39" s="32">
        <v>1</v>
      </c>
      <c r="AR39" s="32">
        <v>1</v>
      </c>
      <c r="AS39" s="32">
        <v>1</v>
      </c>
      <c r="AT39" s="32">
        <v>1</v>
      </c>
      <c r="AU39" s="32">
        <v>1</v>
      </c>
      <c r="AV39" s="32">
        <v>1</v>
      </c>
      <c r="AW39" s="32">
        <v>1</v>
      </c>
      <c r="AX39" s="32">
        <v>1</v>
      </c>
      <c r="AY39" s="32">
        <v>1</v>
      </c>
      <c r="AZ39" s="32">
        <v>1</v>
      </c>
      <c r="BA39" s="32">
        <v>1</v>
      </c>
      <c r="BB39" s="32">
        <v>1</v>
      </c>
      <c r="BC39" s="32">
        <v>1</v>
      </c>
      <c r="BD39" s="34"/>
      <c r="BE39" s="34"/>
      <c r="BF39" s="34"/>
      <c r="BG39" s="34"/>
      <c r="BH39" s="34"/>
      <c r="BI39" s="34"/>
      <c r="BJ39" s="35">
        <f t="shared" si="8"/>
        <v>26</v>
      </c>
      <c r="BK39" s="41">
        <v>1719492.49</v>
      </c>
      <c r="BL39" s="37">
        <f t="shared" si="9"/>
        <v>44706805</v>
      </c>
      <c r="BM39" s="38">
        <v>1</v>
      </c>
      <c r="BN39" s="39">
        <f t="shared" si="10"/>
        <v>0</v>
      </c>
      <c r="BO39" s="39">
        <f t="shared" si="11"/>
        <v>0</v>
      </c>
      <c r="BP39" s="39">
        <f t="shared" si="12"/>
        <v>0</v>
      </c>
      <c r="BQ39" s="39">
        <f t="shared" si="13"/>
        <v>0</v>
      </c>
      <c r="BR39" s="39">
        <f t="shared" si="14"/>
        <v>0</v>
      </c>
      <c r="BS39" s="39">
        <f t="shared" si="15"/>
        <v>0</v>
      </c>
      <c r="BT39" s="39">
        <f t="shared" si="16"/>
        <v>0</v>
      </c>
      <c r="BU39" s="39">
        <f t="shared" si="17"/>
        <v>0</v>
      </c>
    </row>
    <row r="40" spans="1:73" s="40" customFormat="1" ht="15.75" x14ac:dyDescent="0.25">
      <c r="A40" s="66" t="s">
        <v>176</v>
      </c>
      <c r="B40" s="58" t="s">
        <v>177</v>
      </c>
      <c r="C40" s="32" t="s">
        <v>171</v>
      </c>
      <c r="D40" s="67">
        <v>5</v>
      </c>
      <c r="E40" s="67">
        <v>6</v>
      </c>
      <c r="F40" s="67">
        <v>6</v>
      </c>
      <c r="G40" s="67">
        <v>2</v>
      </c>
      <c r="H40" s="67">
        <v>35</v>
      </c>
      <c r="I40" s="67">
        <v>2</v>
      </c>
      <c r="J40" s="67">
        <v>3</v>
      </c>
      <c r="K40" s="67">
        <v>2</v>
      </c>
      <c r="L40" s="67">
        <v>3</v>
      </c>
      <c r="M40" s="67">
        <v>10</v>
      </c>
      <c r="N40" s="67">
        <v>7</v>
      </c>
      <c r="O40" s="67">
        <v>7</v>
      </c>
      <c r="P40" s="67">
        <v>6</v>
      </c>
      <c r="Q40" s="67">
        <v>5</v>
      </c>
      <c r="R40" s="67">
        <v>3</v>
      </c>
      <c r="S40" s="67">
        <v>3</v>
      </c>
      <c r="T40" s="67">
        <v>5</v>
      </c>
      <c r="U40" s="67">
        <v>3</v>
      </c>
      <c r="V40" s="67">
        <v>4</v>
      </c>
      <c r="W40" s="67">
        <v>10</v>
      </c>
      <c r="X40" s="67">
        <v>5</v>
      </c>
      <c r="Y40" s="67">
        <v>7</v>
      </c>
      <c r="Z40" s="67">
        <v>6</v>
      </c>
      <c r="AA40" s="67">
        <v>8</v>
      </c>
      <c r="AB40" s="67">
        <v>6</v>
      </c>
      <c r="AC40" s="67">
        <v>6</v>
      </c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  <c r="BD40" s="34"/>
      <c r="BE40" s="34"/>
      <c r="BF40" s="34"/>
      <c r="BG40" s="34"/>
      <c r="BH40" s="34"/>
      <c r="BI40" s="34"/>
      <c r="BJ40" s="35">
        <f t="shared" si="8"/>
        <v>165</v>
      </c>
      <c r="BK40" s="41">
        <v>1719492.49</v>
      </c>
      <c r="BL40" s="37">
        <f t="shared" si="9"/>
        <v>283716261</v>
      </c>
      <c r="BM40" s="38">
        <v>1</v>
      </c>
      <c r="BN40" s="39">
        <f t="shared" si="10"/>
        <v>10316954.939999999</v>
      </c>
      <c r="BO40" s="39">
        <f t="shared" si="11"/>
        <v>10316954.939999999</v>
      </c>
      <c r="BP40" s="39">
        <f t="shared" si="12"/>
        <v>10316954.939999999</v>
      </c>
      <c r="BQ40" s="39">
        <f t="shared" si="13"/>
        <v>5158477.47</v>
      </c>
      <c r="BR40" s="39">
        <f t="shared" si="14"/>
        <v>3438984.98</v>
      </c>
      <c r="BS40" s="39">
        <f t="shared" si="15"/>
        <v>8597462.4499999993</v>
      </c>
      <c r="BT40" s="39">
        <f t="shared" si="16"/>
        <v>3438984.98</v>
      </c>
      <c r="BU40" s="39">
        <f t="shared" si="17"/>
        <v>5158477.47</v>
      </c>
    </row>
    <row r="41" spans="1:73" s="40" customFormat="1" ht="15.75" x14ac:dyDescent="0.25">
      <c r="A41" s="66" t="s">
        <v>178</v>
      </c>
      <c r="B41" s="58" t="s">
        <v>179</v>
      </c>
      <c r="C41" s="32" t="s">
        <v>171</v>
      </c>
      <c r="D41" s="32">
        <v>1</v>
      </c>
      <c r="E41" s="32">
        <v>1</v>
      </c>
      <c r="F41" s="32">
        <v>1</v>
      </c>
      <c r="G41" s="32">
        <v>1</v>
      </c>
      <c r="H41" s="32">
        <v>1</v>
      </c>
      <c r="I41" s="32">
        <v>1</v>
      </c>
      <c r="J41" s="32">
        <v>1</v>
      </c>
      <c r="K41" s="32">
        <v>1</v>
      </c>
      <c r="L41" s="32">
        <v>1</v>
      </c>
      <c r="M41" s="32">
        <v>1</v>
      </c>
      <c r="N41" s="32">
        <v>1</v>
      </c>
      <c r="O41" s="32">
        <v>1</v>
      </c>
      <c r="P41" s="32">
        <v>1</v>
      </c>
      <c r="Q41" s="32">
        <v>1</v>
      </c>
      <c r="R41" s="32">
        <v>1</v>
      </c>
      <c r="S41" s="32">
        <v>1</v>
      </c>
      <c r="T41" s="32">
        <v>1</v>
      </c>
      <c r="U41" s="32">
        <v>1</v>
      </c>
      <c r="V41" s="32">
        <v>1</v>
      </c>
      <c r="W41" s="32">
        <v>1</v>
      </c>
      <c r="X41" s="32">
        <v>1</v>
      </c>
      <c r="Y41" s="32">
        <v>1</v>
      </c>
      <c r="Z41" s="32">
        <v>1</v>
      </c>
      <c r="AA41" s="32">
        <v>1</v>
      </c>
      <c r="AB41" s="32">
        <v>1</v>
      </c>
      <c r="AC41" s="32">
        <v>1</v>
      </c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  <c r="BD41" s="34"/>
      <c r="BE41" s="34"/>
      <c r="BF41" s="34"/>
      <c r="BG41" s="34"/>
      <c r="BH41" s="34"/>
      <c r="BI41" s="34"/>
      <c r="BJ41" s="35">
        <f t="shared" si="8"/>
        <v>26</v>
      </c>
      <c r="BK41" s="41">
        <v>2671424.2999999998</v>
      </c>
      <c r="BL41" s="37">
        <f t="shared" si="9"/>
        <v>69457032</v>
      </c>
      <c r="BM41" s="38">
        <v>1</v>
      </c>
      <c r="BN41" s="39">
        <f t="shared" si="10"/>
        <v>2671424.2999999998</v>
      </c>
      <c r="BO41" s="39">
        <f t="shared" si="11"/>
        <v>2671424.2999999998</v>
      </c>
      <c r="BP41" s="39">
        <f t="shared" si="12"/>
        <v>2671424.2999999998</v>
      </c>
      <c r="BQ41" s="39">
        <f t="shared" si="13"/>
        <v>2671424.2999999998</v>
      </c>
      <c r="BR41" s="39">
        <f t="shared" si="14"/>
        <v>2671424.2999999998</v>
      </c>
      <c r="BS41" s="39">
        <f t="shared" si="15"/>
        <v>2671424.2999999998</v>
      </c>
      <c r="BT41" s="39">
        <f t="shared" si="16"/>
        <v>2671424.2999999998</v>
      </c>
      <c r="BU41" s="39">
        <f t="shared" si="17"/>
        <v>2671424.2999999998</v>
      </c>
    </row>
    <row r="42" spans="1:73" s="40" customFormat="1" ht="31.5" x14ac:dyDescent="0.25">
      <c r="A42" s="66" t="s">
        <v>180</v>
      </c>
      <c r="B42" s="58" t="s">
        <v>181</v>
      </c>
      <c r="C42" s="32" t="s">
        <v>152</v>
      </c>
      <c r="D42" s="65"/>
      <c r="E42" s="65"/>
      <c r="F42" s="65"/>
      <c r="G42" s="65"/>
      <c r="H42" s="69">
        <v>501.06487199999998</v>
      </c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  <c r="AB42" s="65"/>
      <c r="AC42" s="65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  <c r="BE42" s="34"/>
      <c r="BF42" s="34"/>
      <c r="BG42" s="34"/>
      <c r="BH42" s="34"/>
      <c r="BI42" s="34"/>
      <c r="BJ42" s="35">
        <f t="shared" si="8"/>
        <v>501</v>
      </c>
      <c r="BK42" s="41">
        <v>143159.46</v>
      </c>
      <c r="BL42" s="37">
        <f t="shared" si="9"/>
        <v>71722889</v>
      </c>
      <c r="BM42" s="38">
        <v>1</v>
      </c>
      <c r="BN42" s="39"/>
      <c r="BO42" s="39"/>
      <c r="BP42" s="39"/>
      <c r="BQ42" s="39"/>
      <c r="BR42" s="39"/>
      <c r="BS42" s="39"/>
      <c r="BT42" s="39"/>
      <c r="BU42" s="39"/>
    </row>
    <row r="43" spans="1:73" s="40" customFormat="1" ht="35.25" customHeight="1" x14ac:dyDescent="0.25">
      <c r="A43" s="30" t="s">
        <v>182</v>
      </c>
      <c r="B43" s="58" t="s">
        <v>183</v>
      </c>
      <c r="C43" s="32" t="s">
        <v>171</v>
      </c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  <c r="AB43" s="65"/>
      <c r="AC43" s="65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  <c r="BE43" s="34"/>
      <c r="BF43" s="34"/>
      <c r="BG43" s="34"/>
      <c r="BH43" s="34"/>
      <c r="BI43" s="34"/>
      <c r="BJ43" s="35">
        <f t="shared" si="8"/>
        <v>0</v>
      </c>
      <c r="BK43" s="41">
        <v>2750000</v>
      </c>
      <c r="BL43" s="37">
        <f t="shared" si="9"/>
        <v>0</v>
      </c>
      <c r="BM43" s="38">
        <v>1</v>
      </c>
      <c r="BN43" s="39">
        <f>ROUND((E43*BM43),0)*BK43</f>
        <v>0</v>
      </c>
      <c r="BO43" s="39">
        <f>ROUND((E43*BM43),0)*BK43</f>
        <v>0</v>
      </c>
      <c r="BP43" s="39">
        <f>ROUND((F43*BM43),0)*BK43</f>
        <v>0</v>
      </c>
      <c r="BQ43" s="39">
        <f>ROUND((J43*BM43),0)*BK43</f>
        <v>0</v>
      </c>
      <c r="BR43" s="39">
        <f>ROUND((K43*BM43),0)*BK43</f>
        <v>0</v>
      </c>
      <c r="BS43" s="39">
        <f>ROUND((D43*BM43),0)*BK43</f>
        <v>0</v>
      </c>
      <c r="BT43" s="39">
        <f>ROUND((G43*BM43),0)*BK43</f>
        <v>0</v>
      </c>
      <c r="BU43" s="39">
        <f>ROUND((J43*BM43),0)*BK43</f>
        <v>0</v>
      </c>
    </row>
    <row r="44" spans="1:73" s="40" customFormat="1" ht="35.25" customHeight="1" x14ac:dyDescent="0.25">
      <c r="A44" s="30" t="s">
        <v>184</v>
      </c>
      <c r="B44" s="58" t="s">
        <v>185</v>
      </c>
      <c r="C44" s="32" t="s">
        <v>171</v>
      </c>
      <c r="D44" s="32">
        <v>1</v>
      </c>
      <c r="E44" s="32">
        <v>1</v>
      </c>
      <c r="F44" s="32">
        <v>1</v>
      </c>
      <c r="G44" s="32">
        <v>1</v>
      </c>
      <c r="H44" s="32">
        <v>2</v>
      </c>
      <c r="I44" s="32">
        <v>1</v>
      </c>
      <c r="J44" s="32">
        <v>1</v>
      </c>
      <c r="K44" s="32">
        <v>1</v>
      </c>
      <c r="L44" s="32">
        <v>1</v>
      </c>
      <c r="M44" s="32">
        <v>1</v>
      </c>
      <c r="N44" s="32">
        <v>1</v>
      </c>
      <c r="O44" s="32">
        <v>1</v>
      </c>
      <c r="P44" s="32">
        <v>1</v>
      </c>
      <c r="Q44" s="32">
        <v>1</v>
      </c>
      <c r="R44" s="32">
        <v>1</v>
      </c>
      <c r="S44" s="32">
        <v>1</v>
      </c>
      <c r="T44" s="32">
        <v>1</v>
      </c>
      <c r="U44" s="32">
        <v>1</v>
      </c>
      <c r="V44" s="32">
        <v>1</v>
      </c>
      <c r="W44" s="32">
        <v>1</v>
      </c>
      <c r="X44" s="32">
        <v>1</v>
      </c>
      <c r="Y44" s="32">
        <v>1</v>
      </c>
      <c r="Z44" s="32">
        <v>1</v>
      </c>
      <c r="AA44" s="32">
        <v>1</v>
      </c>
      <c r="AB44" s="32">
        <v>1</v>
      </c>
      <c r="AC44" s="32">
        <v>1</v>
      </c>
      <c r="AD44" s="32">
        <v>1</v>
      </c>
      <c r="AE44" s="32">
        <v>1</v>
      </c>
      <c r="AF44" s="32">
        <v>1</v>
      </c>
      <c r="AG44" s="32">
        <v>1</v>
      </c>
      <c r="AH44" s="32">
        <v>1</v>
      </c>
      <c r="AI44" s="32">
        <v>1</v>
      </c>
      <c r="AJ44" s="32">
        <v>1</v>
      </c>
      <c r="AK44" s="32">
        <v>1</v>
      </c>
      <c r="AL44" s="32">
        <v>1</v>
      </c>
      <c r="AM44" s="32">
        <v>1</v>
      </c>
      <c r="AN44" s="32">
        <v>1</v>
      </c>
      <c r="AO44" s="32">
        <v>1</v>
      </c>
      <c r="AP44" s="32">
        <v>1</v>
      </c>
      <c r="AQ44" s="32">
        <v>1</v>
      </c>
      <c r="AR44" s="32">
        <v>1</v>
      </c>
      <c r="AS44" s="32">
        <v>1</v>
      </c>
      <c r="AT44" s="32">
        <v>1</v>
      </c>
      <c r="AU44" s="32">
        <v>1</v>
      </c>
      <c r="AV44" s="32">
        <v>1</v>
      </c>
      <c r="AW44" s="32">
        <v>1</v>
      </c>
      <c r="AX44" s="32">
        <v>1</v>
      </c>
      <c r="AY44" s="32">
        <v>1</v>
      </c>
      <c r="AZ44" s="32">
        <v>1</v>
      </c>
      <c r="BA44" s="32">
        <v>1</v>
      </c>
      <c r="BB44" s="32">
        <v>1</v>
      </c>
      <c r="BC44" s="32">
        <v>1</v>
      </c>
      <c r="BD44" s="34"/>
      <c r="BE44" s="34"/>
      <c r="BF44" s="34"/>
      <c r="BG44" s="34"/>
      <c r="BH44" s="34"/>
      <c r="BI44" s="34"/>
      <c r="BJ44" s="35">
        <f t="shared" si="8"/>
        <v>53</v>
      </c>
      <c r="BK44" s="41">
        <v>3375000</v>
      </c>
      <c r="BL44" s="37">
        <f t="shared" si="9"/>
        <v>178875000</v>
      </c>
      <c r="BM44" s="38">
        <v>1</v>
      </c>
      <c r="BN44" s="39">
        <f>ROUND((E44*BM44),0)*BK44</f>
        <v>3375000</v>
      </c>
      <c r="BO44" s="39">
        <f>ROUND((E44*BM44),0)*BK44</f>
        <v>3375000</v>
      </c>
      <c r="BP44" s="39">
        <f>ROUND((F44*BM44),0)*BK44</f>
        <v>3375000</v>
      </c>
      <c r="BQ44" s="39">
        <f>ROUND((J44*BM44),0)*BK44</f>
        <v>3375000</v>
      </c>
      <c r="BR44" s="39">
        <f>ROUND((K44*BM44),0)*BK44</f>
        <v>3375000</v>
      </c>
      <c r="BS44" s="39">
        <f>ROUND((D44*BM44),0)*BK44</f>
        <v>3375000</v>
      </c>
      <c r="BT44" s="39">
        <f>ROUND((G44*BM44),0)*BK44</f>
        <v>3375000</v>
      </c>
      <c r="BU44" s="39">
        <f>ROUND((J44*BM44),0)*BK44</f>
        <v>3375000</v>
      </c>
    </row>
    <row r="45" spans="1:73" s="40" customFormat="1" ht="51" customHeight="1" x14ac:dyDescent="0.25">
      <c r="A45" s="30" t="s">
        <v>186</v>
      </c>
      <c r="B45" s="58" t="s">
        <v>187</v>
      </c>
      <c r="C45" s="32" t="s">
        <v>171</v>
      </c>
      <c r="D45" s="32">
        <f>2*5*4</f>
        <v>40</v>
      </c>
      <c r="E45" s="32">
        <f>(2*4*4)+(2*2*5)</f>
        <v>52</v>
      </c>
      <c r="F45" s="32">
        <f>2*6*4</f>
        <v>48</v>
      </c>
      <c r="G45" s="32">
        <f>2*2*10</f>
        <v>40</v>
      </c>
      <c r="H45" s="32">
        <f>2*35*4</f>
        <v>280</v>
      </c>
      <c r="I45" s="32">
        <f>2*2*5</f>
        <v>20</v>
      </c>
      <c r="J45" s="32">
        <f>2*3*4</f>
        <v>24</v>
      </c>
      <c r="K45" s="32">
        <f>2*2*5</f>
        <v>20</v>
      </c>
      <c r="L45" s="32">
        <f>2*3*4</f>
        <v>24</v>
      </c>
      <c r="M45" s="32">
        <f>(2*6*10)+(2*4*4)</f>
        <v>152</v>
      </c>
      <c r="N45" s="32">
        <f>(2*3*10)+(2*2*4)</f>
        <v>76</v>
      </c>
      <c r="O45" s="32">
        <f>(2*3*10)+(2*2*10)</f>
        <v>100</v>
      </c>
      <c r="P45" s="32">
        <f>2*6*4</f>
        <v>48</v>
      </c>
      <c r="Q45" s="32">
        <f>2*5*4</f>
        <v>40</v>
      </c>
      <c r="R45" s="32">
        <f>(2*2*4)+(2*1*10)</f>
        <v>36</v>
      </c>
      <c r="S45" s="32">
        <f>2*3*4</f>
        <v>24</v>
      </c>
      <c r="T45" s="32">
        <f>(2*3*4)+(2*2*10)</f>
        <v>64</v>
      </c>
      <c r="U45" s="32">
        <f>2*3*4</f>
        <v>24</v>
      </c>
      <c r="V45" s="32">
        <f>(2*1*4)+(2*3*10)</f>
        <v>68</v>
      </c>
      <c r="W45" s="32">
        <f>(2*7*4)+(2*3*10)</f>
        <v>116</v>
      </c>
      <c r="X45" s="32">
        <f>2*5*4</f>
        <v>40</v>
      </c>
      <c r="Y45" s="32">
        <f>2*7*4</f>
        <v>56</v>
      </c>
      <c r="Z45" s="32">
        <f>(2*5*4)+(2*1*10)</f>
        <v>60</v>
      </c>
      <c r="AA45" s="32">
        <f>(2*5*4)+(2*3*10)</f>
        <v>100</v>
      </c>
      <c r="AB45" s="32">
        <f>(2*4*4)+(2*2*10)</f>
        <v>72</v>
      </c>
      <c r="AC45" s="32">
        <f>2*6*4</f>
        <v>48</v>
      </c>
      <c r="AD45" s="32">
        <f t="shared" ref="AD45:BC45" si="18">1*3*3</f>
        <v>9</v>
      </c>
      <c r="AE45" s="32">
        <f t="shared" si="18"/>
        <v>9</v>
      </c>
      <c r="AF45" s="32">
        <f t="shared" si="18"/>
        <v>9</v>
      </c>
      <c r="AG45" s="32">
        <f t="shared" si="18"/>
        <v>9</v>
      </c>
      <c r="AH45" s="32">
        <f>1*2*8</f>
        <v>16</v>
      </c>
      <c r="AI45" s="32">
        <f t="shared" ref="AI45:AM45" si="19">1*2*8</f>
        <v>16</v>
      </c>
      <c r="AJ45" s="32">
        <f t="shared" si="19"/>
        <v>16</v>
      </c>
      <c r="AK45" s="32">
        <f t="shared" si="19"/>
        <v>16</v>
      </c>
      <c r="AL45" s="32">
        <f t="shared" si="19"/>
        <v>16</v>
      </c>
      <c r="AM45" s="32">
        <f t="shared" si="19"/>
        <v>16</v>
      </c>
      <c r="AN45" s="32">
        <f t="shared" si="18"/>
        <v>9</v>
      </c>
      <c r="AO45" s="32">
        <f t="shared" si="18"/>
        <v>9</v>
      </c>
      <c r="AP45" s="32">
        <f t="shared" si="18"/>
        <v>9</v>
      </c>
      <c r="AQ45" s="32">
        <f t="shared" si="18"/>
        <v>9</v>
      </c>
      <c r="AR45" s="32">
        <f t="shared" si="18"/>
        <v>9</v>
      </c>
      <c r="AS45" s="32">
        <f t="shared" si="18"/>
        <v>9</v>
      </c>
      <c r="AT45" s="32">
        <f t="shared" si="18"/>
        <v>9</v>
      </c>
      <c r="AU45" s="32">
        <f t="shared" si="18"/>
        <v>9</v>
      </c>
      <c r="AV45" s="32">
        <f t="shared" si="18"/>
        <v>9</v>
      </c>
      <c r="AW45" s="32">
        <f t="shared" si="18"/>
        <v>9</v>
      </c>
      <c r="AX45" s="32">
        <f t="shared" si="18"/>
        <v>9</v>
      </c>
      <c r="AY45" s="32">
        <f t="shared" si="18"/>
        <v>9</v>
      </c>
      <c r="AZ45" s="32">
        <f t="shared" si="18"/>
        <v>9</v>
      </c>
      <c r="BA45" s="32">
        <f t="shared" si="18"/>
        <v>9</v>
      </c>
      <c r="BB45" s="32">
        <f t="shared" si="18"/>
        <v>9</v>
      </c>
      <c r="BC45" s="32">
        <f t="shared" si="18"/>
        <v>9</v>
      </c>
      <c r="BD45" s="34"/>
      <c r="BE45" s="34"/>
      <c r="BF45" s="34"/>
      <c r="BG45" s="34"/>
      <c r="BH45" s="34"/>
      <c r="BI45" s="34"/>
      <c r="BJ45" s="35">
        <f t="shared" si="8"/>
        <v>1948</v>
      </c>
      <c r="BK45" s="41">
        <v>243605.2</v>
      </c>
      <c r="BL45" s="37">
        <f t="shared" si="9"/>
        <v>474542930</v>
      </c>
      <c r="BM45" s="38">
        <v>1</v>
      </c>
      <c r="BN45" s="39">
        <f>ROUND((E45*BM45),0)*BK45</f>
        <v>12667470.4</v>
      </c>
      <c r="BO45" s="39">
        <f>ROUND((E45*BM45),0)*BK45</f>
        <v>12667470.4</v>
      </c>
      <c r="BP45" s="39">
        <f>ROUND((F45*BM45),0)*BK45</f>
        <v>11693049.600000001</v>
      </c>
      <c r="BQ45" s="39">
        <f>ROUND((J45*BM45),0)*BK45</f>
        <v>5846524.8000000007</v>
      </c>
      <c r="BR45" s="39">
        <f>ROUND((K45*BM45),0)*BK45</f>
        <v>4872104</v>
      </c>
      <c r="BS45" s="39">
        <f>ROUND((D45*BM45),0)*BK45</f>
        <v>9744208</v>
      </c>
      <c r="BT45" s="39">
        <f>ROUND((G45*BM45),0)*BK45</f>
        <v>9744208</v>
      </c>
      <c r="BU45" s="39">
        <f>ROUND((J45*BM45),0)*BK45</f>
        <v>5846524.8000000007</v>
      </c>
    </row>
    <row r="46" spans="1:73" s="70" customFormat="1" ht="47.25" x14ac:dyDescent="0.25">
      <c r="A46" s="57" t="s">
        <v>188</v>
      </c>
      <c r="B46" s="58" t="s">
        <v>189</v>
      </c>
      <c r="C46" s="53" t="s">
        <v>125</v>
      </c>
      <c r="D46" s="53">
        <v>157.5</v>
      </c>
      <c r="E46" s="53">
        <v>196.60861415563042</v>
      </c>
      <c r="F46" s="53">
        <v>267.18000317210175</v>
      </c>
      <c r="G46" s="53">
        <v>109.76087732789932</v>
      </c>
      <c r="H46" s="53">
        <v>1102.5</v>
      </c>
      <c r="I46" s="53">
        <v>104.61823489789654</v>
      </c>
      <c r="J46" s="53">
        <v>94.5</v>
      </c>
      <c r="K46" s="53">
        <v>70.69794930674108</v>
      </c>
      <c r="L46" s="53">
        <v>94.5</v>
      </c>
      <c r="M46" s="53">
        <v>315</v>
      </c>
      <c r="N46" s="53">
        <v>220.5</v>
      </c>
      <c r="O46" s="53">
        <v>220.5</v>
      </c>
      <c r="P46" s="53">
        <v>189</v>
      </c>
      <c r="Q46" s="53">
        <v>157.5</v>
      </c>
      <c r="R46" s="53">
        <v>94.5</v>
      </c>
      <c r="S46" s="53">
        <v>94.5</v>
      </c>
      <c r="T46" s="53">
        <v>157.5</v>
      </c>
      <c r="U46" s="53">
        <v>94.5</v>
      </c>
      <c r="V46" s="53">
        <v>126</v>
      </c>
      <c r="W46" s="53">
        <v>315</v>
      </c>
      <c r="X46" s="53">
        <v>159.04626085767694</v>
      </c>
      <c r="Y46" s="53">
        <v>220.5</v>
      </c>
      <c r="Z46" s="53">
        <v>212.09384792022325</v>
      </c>
      <c r="AA46" s="53">
        <v>264.95477286908852</v>
      </c>
      <c r="AB46" s="53">
        <v>189</v>
      </c>
      <c r="AC46" s="53">
        <v>196.60861415563042</v>
      </c>
      <c r="AD46" s="34">
        <v>33.599999999999994</v>
      </c>
      <c r="AE46" s="34">
        <v>33.599999999999994</v>
      </c>
      <c r="AF46" s="34">
        <v>33.599999999999994</v>
      </c>
      <c r="AG46" s="34">
        <v>33.599999999999994</v>
      </c>
      <c r="AH46" s="34">
        <v>33.599999999999994</v>
      </c>
      <c r="AI46" s="34">
        <v>33.599999999999994</v>
      </c>
      <c r="AJ46" s="34">
        <v>33.599999999999994</v>
      </c>
      <c r="AK46" s="34">
        <v>33.599999999999994</v>
      </c>
      <c r="AL46" s="34">
        <v>33.599999999999994</v>
      </c>
      <c r="AM46" s="34">
        <v>33.599999999999994</v>
      </c>
      <c r="AN46" s="34">
        <v>33.599999999999994</v>
      </c>
      <c r="AO46" s="34">
        <v>33.599999999999994</v>
      </c>
      <c r="AP46" s="34">
        <v>33.599999999999994</v>
      </c>
      <c r="AQ46" s="34">
        <v>33.599999999999994</v>
      </c>
      <c r="AR46" s="34">
        <v>33.599999999999994</v>
      </c>
      <c r="AS46" s="34">
        <v>33.599999999999994</v>
      </c>
      <c r="AT46" s="34">
        <v>33.599999999999994</v>
      </c>
      <c r="AU46" s="34">
        <v>33.599999999999994</v>
      </c>
      <c r="AV46" s="34">
        <v>67.199999999999989</v>
      </c>
      <c r="AW46" s="34">
        <v>46.5</v>
      </c>
      <c r="AX46" s="34">
        <v>33.599999999999994</v>
      </c>
      <c r="AY46" s="34">
        <v>33.599999999999994</v>
      </c>
      <c r="AZ46" s="34">
        <v>33.599999999999994</v>
      </c>
      <c r="BA46" s="34">
        <v>33.599999999999994</v>
      </c>
      <c r="BB46" s="34">
        <v>33.599999999999994</v>
      </c>
      <c r="BC46" s="34">
        <v>67.199999999999989</v>
      </c>
      <c r="BD46" s="34"/>
      <c r="BE46" s="34"/>
      <c r="BF46" s="34"/>
      <c r="BG46" s="34"/>
      <c r="BH46" s="34"/>
      <c r="BI46" s="34"/>
      <c r="BJ46" s="35">
        <f t="shared" si="8"/>
        <v>6697</v>
      </c>
      <c r="BK46" s="41">
        <v>49320.51</v>
      </c>
      <c r="BL46" s="37">
        <f t="shared" si="9"/>
        <v>330299455</v>
      </c>
      <c r="BM46" s="54">
        <v>1.05</v>
      </c>
      <c r="BN46" s="39">
        <f>ROUND((E46*BM46),0)*BK46</f>
        <v>10160025.060000001</v>
      </c>
      <c r="BO46" s="39">
        <f>ROUND((E46*BM46),0)*BK46</f>
        <v>10160025.060000001</v>
      </c>
      <c r="BP46" s="39">
        <f>ROUND((F46*BM46),0)*BK46</f>
        <v>13859063.310000001</v>
      </c>
      <c r="BQ46" s="39">
        <f>ROUND((J46*BM46),0)*BK46</f>
        <v>4882730.49</v>
      </c>
      <c r="BR46" s="39">
        <f>ROUND((K46*BM46),0)*BK46</f>
        <v>3649717.74</v>
      </c>
      <c r="BS46" s="39">
        <f>ROUND((D46*BM46),0)*BK46</f>
        <v>8137884.1500000004</v>
      </c>
      <c r="BT46" s="39">
        <f>ROUND((G46*BM46),0)*BK46</f>
        <v>5671858.6500000004</v>
      </c>
      <c r="BU46" s="39">
        <f>ROUND((J46*BM46),0)*BK46</f>
        <v>4882730.49</v>
      </c>
    </row>
    <row r="47" spans="1:73" s="40" customFormat="1" ht="15.75" x14ac:dyDescent="0.25">
      <c r="A47" s="30" t="s">
        <v>190</v>
      </c>
      <c r="B47" s="58" t="s">
        <v>191</v>
      </c>
      <c r="C47" s="32" t="s">
        <v>115</v>
      </c>
      <c r="D47" s="32">
        <v>300.08600000000001</v>
      </c>
      <c r="E47" s="32">
        <v>300.08600000000001</v>
      </c>
      <c r="F47" s="32">
        <v>300.08600000000001</v>
      </c>
      <c r="G47" s="32">
        <v>0</v>
      </c>
      <c r="H47" s="32">
        <v>300.08600000000001</v>
      </c>
      <c r="I47" s="32">
        <v>251.35600000000002</v>
      </c>
      <c r="J47" s="32">
        <v>165.2</v>
      </c>
      <c r="K47" s="32">
        <v>251.35600000000002</v>
      </c>
      <c r="L47" s="32">
        <v>165.2</v>
      </c>
      <c r="M47" s="32">
        <v>300.08600000000001</v>
      </c>
      <c r="N47" s="32">
        <v>300.08600000000001</v>
      </c>
      <c r="O47" s="32">
        <v>0</v>
      </c>
      <c r="P47" s="32">
        <v>300.08600000000001</v>
      </c>
      <c r="Q47" s="32">
        <v>300.08600000000001</v>
      </c>
      <c r="R47" s="32">
        <v>165.2</v>
      </c>
      <c r="S47" s="32">
        <v>165.2</v>
      </c>
      <c r="T47" s="32">
        <v>0</v>
      </c>
      <c r="U47" s="32">
        <v>165.2</v>
      </c>
      <c r="V47" s="32">
        <v>0</v>
      </c>
      <c r="W47" s="32">
        <v>300.08600000000001</v>
      </c>
      <c r="X47" s="32">
        <v>300.08600000000001</v>
      </c>
      <c r="Y47" s="32">
        <v>300.08600000000001</v>
      </c>
      <c r="Z47" s="32">
        <v>300.08600000000001</v>
      </c>
      <c r="AA47" s="32">
        <v>300.08600000000001</v>
      </c>
      <c r="AB47" s="32">
        <v>300.08600000000001</v>
      </c>
      <c r="AC47" s="32">
        <v>300.08600000000001</v>
      </c>
      <c r="AD47" s="32">
        <v>50.692</v>
      </c>
      <c r="AE47" s="32">
        <v>50.692</v>
      </c>
      <c r="AF47" s="32">
        <v>50.692</v>
      </c>
      <c r="AG47" s="32">
        <v>50.692</v>
      </c>
      <c r="AH47" s="32">
        <v>50.692</v>
      </c>
      <c r="AI47" s="32">
        <v>50.692</v>
      </c>
      <c r="AJ47" s="32">
        <v>50.692</v>
      </c>
      <c r="AK47" s="32">
        <v>50.692</v>
      </c>
      <c r="AL47" s="32">
        <v>50.692</v>
      </c>
      <c r="AM47" s="32">
        <v>50.692</v>
      </c>
      <c r="AN47" s="32">
        <v>50.692</v>
      </c>
      <c r="AO47" s="32">
        <v>50.692</v>
      </c>
      <c r="AP47" s="32">
        <v>50.692</v>
      </c>
      <c r="AQ47" s="32">
        <v>50.692</v>
      </c>
      <c r="AR47" s="32">
        <v>50.692</v>
      </c>
      <c r="AS47" s="32">
        <v>50.692</v>
      </c>
      <c r="AT47" s="32">
        <v>50.692</v>
      </c>
      <c r="AU47" s="32">
        <v>50.692</v>
      </c>
      <c r="AV47" s="32">
        <v>202.768</v>
      </c>
      <c r="AW47" s="32">
        <v>149.44699999999997</v>
      </c>
      <c r="AX47" s="32">
        <v>50.692</v>
      </c>
      <c r="AY47" s="32">
        <v>50.692</v>
      </c>
      <c r="AZ47" s="32">
        <v>50.692</v>
      </c>
      <c r="BA47" s="32">
        <v>50.692</v>
      </c>
      <c r="BB47" s="32">
        <v>50.692</v>
      </c>
      <c r="BC47" s="32">
        <v>202.768</v>
      </c>
      <c r="BD47" s="32"/>
      <c r="BE47" s="32"/>
      <c r="BF47" s="32"/>
      <c r="BG47" s="32"/>
      <c r="BH47" s="32"/>
      <c r="BI47" s="32"/>
      <c r="BJ47" s="35">
        <f t="shared" si="8"/>
        <v>8306</v>
      </c>
      <c r="BK47" s="64">
        <v>5305.69</v>
      </c>
      <c r="BL47" s="37">
        <f t="shared" si="9"/>
        <v>44069061</v>
      </c>
      <c r="BM47" s="38">
        <v>1.1000000000000001</v>
      </c>
      <c r="BN47" s="39">
        <f>ROUND((E47*BM47),0)*BK47</f>
        <v>1750877.7</v>
      </c>
      <c r="BO47" s="39">
        <f>ROUND((E47*BM47),0)*BK47</f>
        <v>1750877.7</v>
      </c>
      <c r="BP47" s="39">
        <f>ROUND((F47*BM47),0)*BK47</f>
        <v>1750877.7</v>
      </c>
      <c r="BQ47" s="39">
        <f>ROUND((J47*BM47),0)*BK47</f>
        <v>965635.58</v>
      </c>
      <c r="BR47" s="39">
        <f>ROUND((K47*BM47),0)*BK47</f>
        <v>1464370.44</v>
      </c>
      <c r="BS47" s="39">
        <f>ROUND((D47*BM47),0)*BK47</f>
        <v>1750877.7</v>
      </c>
      <c r="BT47" s="39">
        <f>ROUND((G47*BM47),0)*BK47</f>
        <v>0</v>
      </c>
      <c r="BU47" s="39">
        <f>ROUND((J47*BM47),0)*BK47</f>
        <v>965635.58</v>
      </c>
    </row>
    <row r="48" spans="1:73" s="40" customFormat="1" ht="15.75" x14ac:dyDescent="0.25">
      <c r="A48" s="30" t="s">
        <v>192</v>
      </c>
      <c r="B48" s="58" t="s">
        <v>193</v>
      </c>
      <c r="C48" s="32" t="s">
        <v>115</v>
      </c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2"/>
      <c r="AW48" s="32"/>
      <c r="AX48" s="32"/>
      <c r="AY48" s="32"/>
      <c r="AZ48" s="32"/>
      <c r="BA48" s="32"/>
      <c r="BB48" s="32"/>
      <c r="BC48" s="32"/>
      <c r="BD48" s="32"/>
      <c r="BE48" s="32"/>
      <c r="BF48" s="32"/>
      <c r="BG48" s="32"/>
      <c r="BH48" s="32"/>
      <c r="BI48" s="32"/>
      <c r="BJ48" s="35">
        <f t="shared" si="8"/>
        <v>0</v>
      </c>
      <c r="BK48" s="64">
        <v>5036.1000000000004</v>
      </c>
      <c r="BL48" s="37">
        <f t="shared" si="9"/>
        <v>0</v>
      </c>
      <c r="BM48" s="38">
        <v>1.1000000000000001</v>
      </c>
      <c r="BN48" s="39"/>
      <c r="BO48" s="39"/>
      <c r="BP48" s="39"/>
      <c r="BQ48" s="39"/>
      <c r="BR48" s="39"/>
      <c r="BS48" s="39"/>
      <c r="BT48" s="39"/>
      <c r="BU48" s="39"/>
    </row>
    <row r="49" spans="1:73" s="40" customFormat="1" ht="15.75" x14ac:dyDescent="0.25">
      <c r="A49" s="30" t="s">
        <v>194</v>
      </c>
      <c r="B49" s="58" t="s">
        <v>195</v>
      </c>
      <c r="C49" s="32" t="s">
        <v>115</v>
      </c>
      <c r="D49" s="32">
        <v>0</v>
      </c>
      <c r="E49" s="32">
        <v>723.34749999999997</v>
      </c>
      <c r="F49" s="32">
        <v>0</v>
      </c>
      <c r="G49" s="32">
        <v>0</v>
      </c>
      <c r="H49" s="32">
        <v>1274.7849999999999</v>
      </c>
      <c r="I49" s="32">
        <v>0</v>
      </c>
      <c r="J49" s="32">
        <v>618.54999999999995</v>
      </c>
      <c r="K49" s="32">
        <v>0</v>
      </c>
      <c r="L49" s="32">
        <v>618.54999999999995</v>
      </c>
      <c r="M49" s="32">
        <v>0</v>
      </c>
      <c r="N49" s="32">
        <v>0</v>
      </c>
      <c r="O49" s="32">
        <v>0</v>
      </c>
      <c r="P49" s="32">
        <v>723.34749999999997</v>
      </c>
      <c r="Q49" s="32">
        <v>0</v>
      </c>
      <c r="R49" s="32">
        <v>0</v>
      </c>
      <c r="S49" s="32">
        <v>0</v>
      </c>
      <c r="T49" s="32">
        <v>0</v>
      </c>
      <c r="U49" s="32">
        <v>618.54999999999995</v>
      </c>
      <c r="V49" s="32">
        <v>0</v>
      </c>
      <c r="W49" s="32">
        <v>0</v>
      </c>
      <c r="X49" s="32">
        <v>0</v>
      </c>
      <c r="Y49" s="32">
        <v>0</v>
      </c>
      <c r="Z49" s="32">
        <v>723.34749999999997</v>
      </c>
      <c r="AA49" s="32">
        <v>0</v>
      </c>
      <c r="AB49" s="32">
        <v>723.34749999999997</v>
      </c>
      <c r="AC49" s="32">
        <v>723.34749999999997</v>
      </c>
      <c r="AD49" s="32">
        <v>0</v>
      </c>
      <c r="AE49" s="32">
        <v>0</v>
      </c>
      <c r="AF49" s="32">
        <v>0</v>
      </c>
      <c r="AG49" s="32">
        <v>0</v>
      </c>
      <c r="AH49" s="32">
        <v>0</v>
      </c>
      <c r="AI49" s="32">
        <v>0</v>
      </c>
      <c r="AJ49" s="32">
        <v>0</v>
      </c>
      <c r="AK49" s="32">
        <v>0</v>
      </c>
      <c r="AL49" s="32">
        <v>0</v>
      </c>
      <c r="AM49" s="32">
        <v>0</v>
      </c>
      <c r="AN49" s="32">
        <v>0</v>
      </c>
      <c r="AO49" s="32">
        <v>0</v>
      </c>
      <c r="AP49" s="32">
        <v>0</v>
      </c>
      <c r="AQ49" s="32">
        <v>0</v>
      </c>
      <c r="AR49" s="32">
        <v>0</v>
      </c>
      <c r="AS49" s="32">
        <v>0</v>
      </c>
      <c r="AT49" s="32">
        <v>0</v>
      </c>
      <c r="AU49" s="32">
        <v>0</v>
      </c>
      <c r="AV49" s="32">
        <v>0</v>
      </c>
      <c r="AW49" s="32">
        <v>0</v>
      </c>
      <c r="AX49" s="32">
        <v>0</v>
      </c>
      <c r="AY49" s="32">
        <v>0</v>
      </c>
      <c r="AZ49" s="32">
        <v>0</v>
      </c>
      <c r="BA49" s="32">
        <v>0</v>
      </c>
      <c r="BB49" s="32">
        <v>0</v>
      </c>
      <c r="BC49" s="32">
        <v>0</v>
      </c>
      <c r="BD49" s="32"/>
      <c r="BE49" s="32"/>
      <c r="BF49" s="32"/>
      <c r="BG49" s="32"/>
      <c r="BH49" s="32"/>
      <c r="BI49" s="32"/>
      <c r="BJ49" s="35">
        <f t="shared" si="8"/>
        <v>7422</v>
      </c>
      <c r="BK49" s="64">
        <v>2023.6</v>
      </c>
      <c r="BL49" s="37">
        <f t="shared" si="9"/>
        <v>15019159</v>
      </c>
      <c r="BM49" s="38">
        <v>1.1000000000000001</v>
      </c>
      <c r="BN49" s="39">
        <f>ROUND((E49*BM49),0)*BK49</f>
        <v>1610785.5999999999</v>
      </c>
      <c r="BO49" s="39">
        <f>ROUND((E49*BM49),0)*BK49</f>
        <v>1610785.5999999999</v>
      </c>
      <c r="BP49" s="39">
        <f>ROUND((F49*BM49),0)*BK49</f>
        <v>0</v>
      </c>
      <c r="BQ49" s="39">
        <f>ROUND((J49*BM49),0)*BK49</f>
        <v>1376048</v>
      </c>
      <c r="BR49" s="39">
        <f>ROUND((K49*BM49),0)*BK49</f>
        <v>0</v>
      </c>
      <c r="BS49" s="39">
        <f>ROUND((D49*BM49),0)*BK49</f>
        <v>0</v>
      </c>
      <c r="BT49" s="39">
        <f>ROUND((G49*BM49),0)*BK49</f>
        <v>0</v>
      </c>
      <c r="BU49" s="39">
        <f>ROUND((J49*BM49),0)*BK49</f>
        <v>1376048</v>
      </c>
    </row>
    <row r="50" spans="1:73" s="40" customFormat="1" ht="15.75" x14ac:dyDescent="0.25">
      <c r="A50" s="30" t="s">
        <v>196</v>
      </c>
      <c r="B50" s="58" t="s">
        <v>197</v>
      </c>
      <c r="C50" s="32" t="s">
        <v>115</v>
      </c>
      <c r="D50" s="32">
        <v>181.18400000000003</v>
      </c>
      <c r="E50" s="32">
        <v>632.52800000000002</v>
      </c>
      <c r="F50" s="32">
        <v>181.18400000000003</v>
      </c>
      <c r="G50" s="32">
        <v>70.496000000000009</v>
      </c>
      <c r="H50" s="32">
        <v>838.78400000000011</v>
      </c>
      <c r="I50" s="32">
        <v>149.744</v>
      </c>
      <c r="J50" s="32">
        <v>411.20000000000005</v>
      </c>
      <c r="K50" s="32">
        <v>149.744</v>
      </c>
      <c r="L50" s="32">
        <v>411.20000000000005</v>
      </c>
      <c r="M50" s="32">
        <v>632.52800000000002</v>
      </c>
      <c r="N50" s="32">
        <v>632.52800000000002</v>
      </c>
      <c r="O50" s="32">
        <v>0</v>
      </c>
      <c r="P50" s="32">
        <v>130.04</v>
      </c>
      <c r="Q50" s="32">
        <v>322.88000000000005</v>
      </c>
      <c r="R50" s="32">
        <v>411.20000000000005</v>
      </c>
      <c r="S50" s="32">
        <v>411.20000000000005</v>
      </c>
      <c r="T50" s="32">
        <v>0</v>
      </c>
      <c r="U50" s="32">
        <v>411.20000000000005</v>
      </c>
      <c r="V50" s="32">
        <v>0</v>
      </c>
      <c r="W50" s="32">
        <v>632.52800000000002</v>
      </c>
      <c r="X50" s="32">
        <v>181.18400000000003</v>
      </c>
      <c r="Y50" s="32">
        <v>632.52800000000002</v>
      </c>
      <c r="Z50" s="32">
        <v>130.04</v>
      </c>
      <c r="AA50" s="32">
        <v>632.52800000000002</v>
      </c>
      <c r="AB50" s="32">
        <v>130.04</v>
      </c>
      <c r="AC50" s="32">
        <v>130.04</v>
      </c>
      <c r="AD50" s="32">
        <v>27.968000000000004</v>
      </c>
      <c r="AE50" s="32">
        <v>27.968000000000004</v>
      </c>
      <c r="AF50" s="32">
        <v>27.968000000000004</v>
      </c>
      <c r="AG50" s="32">
        <v>27.968000000000004</v>
      </c>
      <c r="AH50" s="32">
        <v>27.968000000000004</v>
      </c>
      <c r="AI50" s="32">
        <v>27.968000000000004</v>
      </c>
      <c r="AJ50" s="32">
        <v>27.968000000000004</v>
      </c>
      <c r="AK50" s="32">
        <v>27.968000000000004</v>
      </c>
      <c r="AL50" s="32">
        <v>27.968000000000004</v>
      </c>
      <c r="AM50" s="32">
        <v>27.968000000000004</v>
      </c>
      <c r="AN50" s="32">
        <v>27.968000000000004</v>
      </c>
      <c r="AO50" s="32">
        <v>27.968000000000004</v>
      </c>
      <c r="AP50" s="32">
        <v>27.968000000000004</v>
      </c>
      <c r="AQ50" s="32">
        <v>27.968000000000004</v>
      </c>
      <c r="AR50" s="32">
        <v>27.968000000000004</v>
      </c>
      <c r="AS50" s="32">
        <v>27.968000000000004</v>
      </c>
      <c r="AT50" s="32">
        <v>27.968000000000004</v>
      </c>
      <c r="AU50" s="32">
        <v>27.968000000000004</v>
      </c>
      <c r="AV50" s="32">
        <v>55.936000000000007</v>
      </c>
      <c r="AW50" s="32">
        <v>70.924000000000007</v>
      </c>
      <c r="AX50" s="32">
        <v>27.968000000000004</v>
      </c>
      <c r="AY50" s="32">
        <v>27.968000000000004</v>
      </c>
      <c r="AZ50" s="32">
        <v>27.968000000000004</v>
      </c>
      <c r="BA50" s="32">
        <v>27.968000000000004</v>
      </c>
      <c r="BB50" s="32">
        <v>27.968000000000004</v>
      </c>
      <c r="BC50" s="32">
        <v>55.936000000000007</v>
      </c>
      <c r="BD50" s="32"/>
      <c r="BE50" s="32"/>
      <c r="BF50" s="32"/>
      <c r="BG50" s="32"/>
      <c r="BH50" s="32"/>
      <c r="BI50" s="32"/>
      <c r="BJ50" s="35">
        <f t="shared" si="8"/>
        <v>10200</v>
      </c>
      <c r="BK50" s="64">
        <v>2231.44</v>
      </c>
      <c r="BL50" s="37">
        <f t="shared" si="9"/>
        <v>22760688</v>
      </c>
      <c r="BM50" s="38">
        <v>1.1000000000000001</v>
      </c>
      <c r="BN50" s="39">
        <f>ROUND((E50*BM50),0)*BK50</f>
        <v>1553082.24</v>
      </c>
      <c r="BO50" s="39">
        <f>ROUND((E50*BM50),0)*BK50</f>
        <v>1553082.24</v>
      </c>
      <c r="BP50" s="39">
        <f>ROUND((F50*BM50),0)*BK50</f>
        <v>444056.56</v>
      </c>
      <c r="BQ50" s="39">
        <f>ROUND((J50*BM50),0)*BK50</f>
        <v>1008610.88</v>
      </c>
      <c r="BR50" s="39">
        <f>ROUND((K50*BM50),0)*BK50</f>
        <v>368187.60000000003</v>
      </c>
      <c r="BS50" s="39">
        <f>ROUND((D50*BM50),0)*BK50</f>
        <v>444056.56</v>
      </c>
      <c r="BT50" s="39">
        <f>ROUND((G50*BM50),0)*BK50</f>
        <v>174052.32</v>
      </c>
      <c r="BU50" s="39">
        <f>ROUND((J50*BM50),0)*BK50</f>
        <v>1008610.88</v>
      </c>
    </row>
    <row r="51" spans="1:73" s="40" customFormat="1" ht="15.75" x14ac:dyDescent="0.25">
      <c r="A51" s="30" t="s">
        <v>198</v>
      </c>
      <c r="B51" s="58" t="s">
        <v>199</v>
      </c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>
        <v>315</v>
      </c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  <c r="AY51" s="32"/>
      <c r="AZ51" s="32"/>
      <c r="BA51" s="32"/>
      <c r="BB51" s="32"/>
      <c r="BC51" s="32"/>
      <c r="BD51" s="32"/>
      <c r="BE51" s="32"/>
      <c r="BF51" s="32"/>
      <c r="BG51" s="32"/>
      <c r="BH51" s="32"/>
      <c r="BI51" s="32"/>
      <c r="BJ51" s="35">
        <f t="shared" si="8"/>
        <v>315</v>
      </c>
      <c r="BK51" s="64">
        <v>7282.17</v>
      </c>
      <c r="BL51" s="37">
        <f t="shared" si="9"/>
        <v>2293884</v>
      </c>
      <c r="BM51" s="38">
        <v>1</v>
      </c>
      <c r="BN51" s="39"/>
      <c r="BO51" s="39"/>
      <c r="BP51" s="39"/>
      <c r="BQ51" s="39"/>
      <c r="BR51" s="39"/>
      <c r="BS51" s="39"/>
      <c r="BT51" s="39"/>
      <c r="BU51" s="39"/>
    </row>
    <row r="52" spans="1:73" s="40" customFormat="1" ht="15.75" x14ac:dyDescent="0.25">
      <c r="A52" s="30">
        <v>201</v>
      </c>
      <c r="B52" s="58" t="s">
        <v>200</v>
      </c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32">
        <v>465</v>
      </c>
      <c r="AX52" s="32"/>
      <c r="AY52" s="32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5">
        <f t="shared" si="8"/>
        <v>465</v>
      </c>
      <c r="BK52" s="64">
        <v>1776.13</v>
      </c>
      <c r="BL52" s="37">
        <f t="shared" si="9"/>
        <v>825900</v>
      </c>
      <c r="BM52" s="38">
        <v>1</v>
      </c>
      <c r="BN52" s="39"/>
      <c r="BO52" s="39"/>
      <c r="BP52" s="39"/>
      <c r="BQ52" s="39"/>
      <c r="BR52" s="39"/>
      <c r="BS52" s="39"/>
      <c r="BT52" s="39"/>
      <c r="BU52" s="39"/>
    </row>
    <row r="53" spans="1:73" s="40" customFormat="1" ht="15.75" x14ac:dyDescent="0.25">
      <c r="A53" s="71" t="s">
        <v>201</v>
      </c>
      <c r="B53" s="72" t="s">
        <v>202</v>
      </c>
      <c r="C53" s="32" t="s">
        <v>125</v>
      </c>
      <c r="D53" s="32">
        <v>22.400000000000002</v>
      </c>
      <c r="E53" s="32">
        <v>32</v>
      </c>
      <c r="F53" s="32">
        <v>28</v>
      </c>
      <c r="G53" s="32">
        <v>4.8000000000000007</v>
      </c>
      <c r="H53" s="32">
        <v>244.8</v>
      </c>
      <c r="I53" s="32">
        <v>6.4</v>
      </c>
      <c r="J53" s="32">
        <v>12.8</v>
      </c>
      <c r="K53" s="32">
        <v>7.2</v>
      </c>
      <c r="L53" s="32">
        <v>11.200000000000001</v>
      </c>
      <c r="M53" s="32">
        <v>57.6</v>
      </c>
      <c r="N53" s="32">
        <v>38.400000000000006</v>
      </c>
      <c r="O53" s="32">
        <v>38.400000000000006</v>
      </c>
      <c r="P53" s="32">
        <v>32</v>
      </c>
      <c r="Q53" s="32">
        <v>22.400000000000002</v>
      </c>
      <c r="R53" s="32">
        <v>12.8</v>
      </c>
      <c r="S53" s="32">
        <v>12.8</v>
      </c>
      <c r="T53" s="32">
        <v>22.400000000000002</v>
      </c>
      <c r="U53" s="32">
        <v>12.8</v>
      </c>
      <c r="V53" s="32">
        <v>16.8</v>
      </c>
      <c r="W53" s="32">
        <v>57.6</v>
      </c>
      <c r="X53" s="32">
        <v>25.6</v>
      </c>
      <c r="Y53" s="32">
        <v>38.400000000000006</v>
      </c>
      <c r="Z53" s="32">
        <v>32</v>
      </c>
      <c r="AA53" s="32">
        <v>44.800000000000004</v>
      </c>
      <c r="AB53" s="32">
        <v>32</v>
      </c>
      <c r="AC53" s="32">
        <v>32</v>
      </c>
      <c r="AD53" s="32">
        <v>4.8000000000000007</v>
      </c>
      <c r="AE53" s="32">
        <v>4.8000000000000007</v>
      </c>
      <c r="AF53" s="32">
        <v>4.8000000000000007</v>
      </c>
      <c r="AG53" s="32">
        <v>4.8000000000000007</v>
      </c>
      <c r="AH53" s="32">
        <v>4.8000000000000007</v>
      </c>
      <c r="AI53" s="32">
        <v>4.8000000000000007</v>
      </c>
      <c r="AJ53" s="32">
        <v>4.8000000000000007</v>
      </c>
      <c r="AK53" s="32">
        <v>4.8000000000000007</v>
      </c>
      <c r="AL53" s="32">
        <v>4.8000000000000007</v>
      </c>
      <c r="AM53" s="32">
        <v>4.8000000000000007</v>
      </c>
      <c r="AN53" s="32">
        <v>4.8000000000000007</v>
      </c>
      <c r="AO53" s="32">
        <v>4.8000000000000007</v>
      </c>
      <c r="AP53" s="32">
        <v>4.8000000000000007</v>
      </c>
      <c r="AQ53" s="32">
        <v>4.8000000000000007</v>
      </c>
      <c r="AR53" s="32">
        <v>4.8000000000000007</v>
      </c>
      <c r="AS53" s="32">
        <v>4.8000000000000007</v>
      </c>
      <c r="AT53" s="32">
        <v>4.8000000000000007</v>
      </c>
      <c r="AU53" s="32">
        <v>4.8000000000000007</v>
      </c>
      <c r="AV53" s="32">
        <v>12.8</v>
      </c>
      <c r="AW53" s="32">
        <v>4.8000000000000007</v>
      </c>
      <c r="AX53" s="32">
        <v>4.8000000000000007</v>
      </c>
      <c r="AY53" s="32">
        <v>4.8000000000000007</v>
      </c>
      <c r="AZ53" s="32">
        <v>4.8000000000000007</v>
      </c>
      <c r="BA53" s="32">
        <v>4.8000000000000007</v>
      </c>
      <c r="BB53" s="32">
        <v>4.8000000000000007</v>
      </c>
      <c r="BC53" s="32">
        <v>12.8</v>
      </c>
      <c r="BD53" s="32"/>
      <c r="BE53" s="32"/>
      <c r="BF53" s="32"/>
      <c r="BG53" s="32"/>
      <c r="BH53" s="32"/>
      <c r="BI53" s="32"/>
      <c r="BJ53" s="35">
        <f t="shared" si="8"/>
        <v>1091</v>
      </c>
      <c r="BK53" s="64">
        <v>2813.45</v>
      </c>
      <c r="BL53" s="37">
        <f t="shared" si="9"/>
        <v>3069474</v>
      </c>
      <c r="BM53" s="38">
        <v>1.05</v>
      </c>
      <c r="BN53" s="39">
        <f>ROUND((E53*BM53),0)*BK53</f>
        <v>95657.299999999988</v>
      </c>
      <c r="BO53" s="39">
        <f>ROUND((E53*BM53),0)*BK53</f>
        <v>95657.299999999988</v>
      </c>
      <c r="BP53" s="39">
        <f>ROUND((F53*BM53),0)*BK53</f>
        <v>81590.049999999988</v>
      </c>
      <c r="BQ53" s="39">
        <f>ROUND((J53*BM53),0)*BK53</f>
        <v>36574.85</v>
      </c>
      <c r="BR53" s="39">
        <f>ROUND((K53*BM53),0)*BK53</f>
        <v>22507.599999999999</v>
      </c>
      <c r="BS53" s="39">
        <f>ROUND((D53*BM53),0)*BK53</f>
        <v>67522.799999999988</v>
      </c>
      <c r="BT53" s="39">
        <f>ROUND((G53*BM53),0)*BK53</f>
        <v>14067.25</v>
      </c>
      <c r="BU53" s="39">
        <f>ROUND((J53*BM53),0)*BK53</f>
        <v>36574.85</v>
      </c>
    </row>
    <row r="54" spans="1:73" s="40" customFormat="1" ht="31.5" x14ac:dyDescent="0.25">
      <c r="A54" s="73" t="s">
        <v>203</v>
      </c>
      <c r="B54" s="60" t="s">
        <v>204</v>
      </c>
      <c r="C54" s="32" t="s">
        <v>125</v>
      </c>
      <c r="D54" s="32">
        <v>112.37333333333335</v>
      </c>
      <c r="E54" s="32">
        <v>117.10758214128116</v>
      </c>
      <c r="F54" s="32">
        <v>161.01866864041887</v>
      </c>
      <c r="G54" s="32">
        <v>199.6603043454121</v>
      </c>
      <c r="H54" s="32">
        <v>112.37333333333335</v>
      </c>
      <c r="I54" s="32">
        <v>190.06070514274023</v>
      </c>
      <c r="J54" s="32">
        <v>112.37333333333335</v>
      </c>
      <c r="K54" s="32">
        <v>126.74283870591668</v>
      </c>
      <c r="L54" s="32">
        <v>112.37333333333335</v>
      </c>
      <c r="M54" s="32">
        <v>112.37333333333335</v>
      </c>
      <c r="N54" s="32">
        <v>112.37333333333335</v>
      </c>
      <c r="O54" s="32">
        <v>112.37333333333335</v>
      </c>
      <c r="P54" s="32">
        <v>112.37333333333335</v>
      </c>
      <c r="Q54" s="32">
        <v>112.37333333333335</v>
      </c>
      <c r="R54" s="32">
        <v>112.37333333333335</v>
      </c>
      <c r="S54" s="32">
        <v>112.37333333333335</v>
      </c>
      <c r="T54" s="32">
        <v>112.37333333333335</v>
      </c>
      <c r="U54" s="32">
        <v>112.37333333333335</v>
      </c>
      <c r="V54" s="32">
        <v>112.37333333333335</v>
      </c>
      <c r="W54" s="32">
        <v>112.37333333333335</v>
      </c>
      <c r="X54" s="32">
        <v>113.52787477373215</v>
      </c>
      <c r="Y54" s="32">
        <v>112.37333333333335</v>
      </c>
      <c r="Z54" s="32">
        <v>126.74283870591668</v>
      </c>
      <c r="AA54" s="32">
        <v>118.41889400557464</v>
      </c>
      <c r="AB54" s="32">
        <v>112.37333333333335</v>
      </c>
      <c r="AC54" s="32">
        <v>117.10758214128116</v>
      </c>
      <c r="AD54" s="32">
        <v>38.45333333333334</v>
      </c>
      <c r="AE54" s="32">
        <v>38.45333333333334</v>
      </c>
      <c r="AF54" s="32">
        <v>38.45333333333334</v>
      </c>
      <c r="AG54" s="32">
        <v>38.45333333333334</v>
      </c>
      <c r="AH54" s="32">
        <v>38.45333333333334</v>
      </c>
      <c r="AI54" s="32">
        <v>38.45333333333334</v>
      </c>
      <c r="AJ54" s="32">
        <v>38.45333333333334</v>
      </c>
      <c r="AK54" s="32">
        <v>38.45333333333334</v>
      </c>
      <c r="AL54" s="32">
        <v>38.45333333333334</v>
      </c>
      <c r="AM54" s="32">
        <v>38.45333333333334</v>
      </c>
      <c r="AN54" s="32">
        <v>38.45333333333334</v>
      </c>
      <c r="AO54" s="32">
        <v>38.45333333333334</v>
      </c>
      <c r="AP54" s="32">
        <v>38.45333333333334</v>
      </c>
      <c r="AQ54" s="32">
        <v>38.45333333333334</v>
      </c>
      <c r="AR54" s="32">
        <v>38.45333333333334</v>
      </c>
      <c r="AS54" s="32">
        <v>38.45333333333334</v>
      </c>
      <c r="AT54" s="32">
        <v>38.45333333333334</v>
      </c>
      <c r="AU54" s="32">
        <v>38.45333333333334</v>
      </c>
      <c r="AV54" s="32">
        <v>76.90666666666668</v>
      </c>
      <c r="AW54" s="32">
        <v>55.253333333333345</v>
      </c>
      <c r="AX54" s="32">
        <v>38.45333333333334</v>
      </c>
      <c r="AY54" s="32">
        <v>38.45333333333334</v>
      </c>
      <c r="AZ54" s="32">
        <v>38.45333333333334</v>
      </c>
      <c r="BA54" s="32">
        <v>38.45333333333334</v>
      </c>
      <c r="BB54" s="32">
        <v>38.45333333333334</v>
      </c>
      <c r="BC54" s="32">
        <v>76.90666666666668</v>
      </c>
      <c r="BD54" s="32"/>
      <c r="BE54" s="32"/>
      <c r="BF54" s="32"/>
      <c r="BG54" s="32"/>
      <c r="BH54" s="32"/>
      <c r="BI54" s="32"/>
      <c r="BJ54" s="35">
        <f t="shared" si="8"/>
        <v>4488</v>
      </c>
      <c r="BK54" s="64">
        <v>300</v>
      </c>
      <c r="BL54" s="37">
        <f t="shared" si="9"/>
        <v>1346400</v>
      </c>
      <c r="BM54" s="38">
        <v>1.05</v>
      </c>
      <c r="BN54" s="39">
        <f>ROUND((E54*BM54),0)*BK54</f>
        <v>36900</v>
      </c>
      <c r="BO54" s="39">
        <f>ROUND((E54*BM54),0)*BK54</f>
        <v>36900</v>
      </c>
      <c r="BP54" s="39">
        <f>ROUND((F54*BM54),0)*BK54</f>
        <v>50700</v>
      </c>
      <c r="BQ54" s="39">
        <f>ROUND((J54*BM54),0)*BK54</f>
        <v>35400</v>
      </c>
      <c r="BR54" s="39">
        <f>ROUND((K54*BM54),0)*BK54</f>
        <v>39900</v>
      </c>
      <c r="BS54" s="39">
        <f>ROUND((D54*BM54),0)*BK54</f>
        <v>35400</v>
      </c>
      <c r="BT54" s="39">
        <f>ROUND((G54*BM54),0)*BK54</f>
        <v>63000</v>
      </c>
      <c r="BU54" s="39">
        <f>ROUND((J54*BM54),0)*BK54</f>
        <v>35400</v>
      </c>
    </row>
    <row r="55" spans="1:73" s="40" customFormat="1" ht="47.25" x14ac:dyDescent="0.25">
      <c r="A55" s="73" t="s">
        <v>205</v>
      </c>
      <c r="B55" s="60" t="s">
        <v>206</v>
      </c>
      <c r="C55" s="33" t="s">
        <v>207</v>
      </c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2"/>
      <c r="BA55" s="32"/>
      <c r="BB55" s="32"/>
      <c r="BC55" s="32"/>
      <c r="BD55" s="74">
        <v>0</v>
      </c>
      <c r="BE55" s="74">
        <v>0</v>
      </c>
      <c r="BF55" s="74">
        <v>0</v>
      </c>
      <c r="BG55" s="32"/>
      <c r="BH55" s="32"/>
      <c r="BI55" s="32"/>
      <c r="BJ55" s="35"/>
      <c r="BK55" s="65"/>
      <c r="BL55" s="35">
        <f>ROUND(SUM(D55:BI55)*BM55,0)</f>
        <v>0</v>
      </c>
      <c r="BM55" s="75">
        <v>1</v>
      </c>
      <c r="BN55" s="39"/>
      <c r="BO55" s="39">
        <f>ROUND((E55*BM55),0)*BK55</f>
        <v>0</v>
      </c>
      <c r="BP55" s="39">
        <f>ROUND((F55*BM55),0)*BK55</f>
        <v>0</v>
      </c>
      <c r="BQ55" s="39"/>
      <c r="BR55" s="39">
        <f>ROUND((K55*BM55),0)*BK55</f>
        <v>0</v>
      </c>
      <c r="BS55" s="39">
        <f>ROUND((D55*BM55),0)*BK55</f>
        <v>0</v>
      </c>
      <c r="BT55" s="39">
        <f>ROUND((G55*BM55),0)*BK55</f>
        <v>0</v>
      </c>
      <c r="BU55" s="39">
        <f>ROUND((J55*BM55),0)*BK55</f>
        <v>0</v>
      </c>
    </row>
    <row r="56" spans="1:73" s="40" customFormat="1" ht="15.75" x14ac:dyDescent="0.25">
      <c r="A56" s="73"/>
      <c r="B56" s="76" t="s">
        <v>208</v>
      </c>
      <c r="C56" s="33" t="s">
        <v>207</v>
      </c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33"/>
      <c r="AV56" s="33"/>
      <c r="AW56" s="33"/>
      <c r="AX56" s="33"/>
      <c r="AY56" s="33"/>
      <c r="AZ56" s="33"/>
      <c r="BA56" s="33"/>
      <c r="BB56" s="33"/>
      <c r="BC56" s="33"/>
      <c r="BD56" s="77"/>
      <c r="BE56" s="77"/>
      <c r="BF56" s="77"/>
      <c r="BG56" s="33"/>
      <c r="BH56" s="33"/>
      <c r="BI56" s="33"/>
      <c r="BJ56" s="78"/>
      <c r="BK56" s="79"/>
      <c r="BL56" s="80">
        <v>29264300</v>
      </c>
      <c r="BM56" s="75"/>
      <c r="BN56" s="39"/>
      <c r="BO56" s="39"/>
      <c r="BP56" s="39"/>
      <c r="BQ56" s="39"/>
      <c r="BR56" s="39"/>
      <c r="BS56" s="39"/>
      <c r="BT56" s="39"/>
      <c r="BU56" s="39"/>
    </row>
    <row r="57" spans="1:73" s="40" customFormat="1" ht="15.75" x14ac:dyDescent="0.25">
      <c r="A57" s="73"/>
      <c r="B57" s="76" t="s">
        <v>209</v>
      </c>
      <c r="C57" s="33" t="s">
        <v>207</v>
      </c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  <c r="AT57" s="33"/>
      <c r="AU57" s="33"/>
      <c r="AV57" s="33"/>
      <c r="AW57" s="33"/>
      <c r="AX57" s="33"/>
      <c r="AY57" s="33"/>
      <c r="AZ57" s="33"/>
      <c r="BA57" s="33"/>
      <c r="BB57" s="33"/>
      <c r="BC57" s="33"/>
      <c r="BD57" s="77"/>
      <c r="BE57" s="77"/>
      <c r="BF57" s="77"/>
      <c r="BG57" s="33"/>
      <c r="BH57" s="33"/>
      <c r="BI57" s="33"/>
      <c r="BJ57" s="78"/>
      <c r="BK57" s="79"/>
      <c r="BL57" s="80">
        <v>15000000</v>
      </c>
      <c r="BM57" s="75"/>
      <c r="BN57" s="39"/>
      <c r="BO57" s="39"/>
      <c r="BP57" s="39"/>
      <c r="BQ57" s="39"/>
      <c r="BR57" s="39"/>
      <c r="BS57" s="39"/>
      <c r="BT57" s="39"/>
      <c r="BU57" s="39"/>
    </row>
    <row r="58" spans="1:73" s="40" customFormat="1" ht="16.5" thickBot="1" x14ac:dyDescent="0.3">
      <c r="A58" s="73"/>
      <c r="B58" s="76" t="s">
        <v>210</v>
      </c>
      <c r="C58" s="33" t="s">
        <v>207</v>
      </c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3"/>
      <c r="AV58" s="33"/>
      <c r="AW58" s="33"/>
      <c r="AX58" s="33"/>
      <c r="AY58" s="33"/>
      <c r="AZ58" s="33"/>
      <c r="BA58" s="33"/>
      <c r="BB58" s="33"/>
      <c r="BC58" s="33"/>
      <c r="BD58" s="77"/>
      <c r="BE58" s="77"/>
      <c r="BF58" s="77"/>
      <c r="BG58" s="33"/>
      <c r="BH58" s="33"/>
      <c r="BI58" s="33"/>
      <c r="BJ58" s="78"/>
      <c r="BK58" s="79"/>
      <c r="BL58" s="80">
        <v>15000000</v>
      </c>
      <c r="BM58" s="75"/>
      <c r="BN58" s="39"/>
      <c r="BO58" s="39"/>
      <c r="BP58" s="39"/>
      <c r="BQ58" s="39"/>
      <c r="BR58" s="39"/>
      <c r="BS58" s="39"/>
      <c r="BT58" s="39"/>
      <c r="BU58" s="39"/>
    </row>
    <row r="59" spans="1:73" s="40" customFormat="1" ht="16.5" thickBot="1" x14ac:dyDescent="0.3">
      <c r="A59" s="81" t="s">
        <v>211</v>
      </c>
      <c r="B59" s="82"/>
      <c r="C59" s="82"/>
      <c r="D59" s="82"/>
      <c r="E59" s="82"/>
      <c r="F59" s="82"/>
      <c r="G59" s="82"/>
      <c r="H59" s="82"/>
      <c r="I59" s="82"/>
      <c r="J59" s="82"/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  <c r="AA59" s="82"/>
      <c r="AB59" s="82"/>
      <c r="AC59" s="82"/>
      <c r="AD59" s="82"/>
      <c r="AE59" s="82"/>
      <c r="AF59" s="82"/>
      <c r="AG59" s="82"/>
      <c r="AH59" s="82"/>
      <c r="AI59" s="82"/>
      <c r="AJ59" s="82"/>
      <c r="AK59" s="82"/>
      <c r="AL59" s="82"/>
      <c r="AM59" s="82"/>
      <c r="AN59" s="82"/>
      <c r="AO59" s="82"/>
      <c r="AP59" s="82"/>
      <c r="AQ59" s="82"/>
      <c r="AR59" s="82"/>
      <c r="AS59" s="82"/>
      <c r="AT59" s="82"/>
      <c r="AU59" s="82"/>
      <c r="AV59" s="82"/>
      <c r="AW59" s="82"/>
      <c r="AX59" s="82"/>
      <c r="AY59" s="82"/>
      <c r="AZ59" s="82"/>
      <c r="BA59" s="82"/>
      <c r="BB59" s="82"/>
      <c r="BC59" s="82"/>
      <c r="BD59" s="82"/>
      <c r="BE59" s="82"/>
      <c r="BF59" s="82"/>
      <c r="BG59" s="82"/>
      <c r="BH59" s="82"/>
      <c r="BI59" s="82"/>
      <c r="BJ59" s="82"/>
      <c r="BK59" s="83"/>
      <c r="BL59" s="84">
        <f>SUM(BL6:BL58)</f>
        <v>14603902869</v>
      </c>
      <c r="BM59" s="38"/>
      <c r="BN59" s="84">
        <f t="shared" ref="BN59:BU59" si="20">SUM(BN6:BN54)</f>
        <v>407416339.05999994</v>
      </c>
      <c r="BO59" s="84">
        <f t="shared" si="20"/>
        <v>407416339.05999994</v>
      </c>
      <c r="BP59" s="85">
        <f t="shared" si="20"/>
        <v>350638184.90000004</v>
      </c>
      <c r="BQ59" s="85">
        <f t="shared" si="20"/>
        <v>270445106.33000004</v>
      </c>
      <c r="BR59" s="85">
        <f t="shared" si="20"/>
        <v>126683914.16999999</v>
      </c>
      <c r="BS59" s="85">
        <f t="shared" si="20"/>
        <v>295632877.21999997</v>
      </c>
      <c r="BT59" s="85">
        <f t="shared" si="20"/>
        <v>210308568.31000003</v>
      </c>
      <c r="BU59" s="85">
        <f t="shared" si="20"/>
        <v>270445106.33000004</v>
      </c>
    </row>
    <row r="60" spans="1:73" ht="15" customHeight="1" x14ac:dyDescent="0.2">
      <c r="J60" s="88"/>
      <c r="K60" s="88"/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  <c r="AQ60" s="88"/>
      <c r="AR60" s="88"/>
      <c r="AS60" s="88"/>
      <c r="AT60" s="88"/>
      <c r="AU60" s="88"/>
      <c r="AV60" s="88"/>
      <c r="AW60" s="88"/>
      <c r="AX60" s="88"/>
      <c r="AY60" s="88"/>
      <c r="AZ60" s="88"/>
      <c r="BA60" s="88"/>
      <c r="BB60" s="88"/>
      <c r="BC60" s="88"/>
      <c r="BD60" s="88"/>
      <c r="BE60" s="88"/>
      <c r="BF60" s="88"/>
      <c r="BG60" s="88"/>
      <c r="BH60" s="88"/>
      <c r="BI60" s="88"/>
      <c r="BJ60" s="89"/>
      <c r="BK60" s="90"/>
      <c r="BL60" s="91"/>
    </row>
    <row r="61" spans="1:73" ht="15" customHeight="1" x14ac:dyDescent="0.2">
      <c r="J61" s="88"/>
      <c r="K61" s="88"/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  <c r="AQ61" s="88"/>
      <c r="AR61" s="88"/>
      <c r="AS61" s="88"/>
      <c r="AT61" s="88"/>
      <c r="AU61" s="88"/>
      <c r="AV61" s="88"/>
      <c r="AW61" s="88"/>
      <c r="AX61" s="88"/>
      <c r="AY61" s="88"/>
      <c r="AZ61" s="88"/>
      <c r="BA61" s="88"/>
      <c r="BB61" s="88"/>
      <c r="BC61" s="88"/>
      <c r="BD61" s="88"/>
      <c r="BE61" s="88"/>
      <c r="BF61" s="88"/>
      <c r="BG61" s="88"/>
      <c r="BH61" s="88"/>
      <c r="BI61" s="88"/>
      <c r="BJ61" s="89"/>
      <c r="BK61" s="90"/>
      <c r="BL61" s="91" t="e">
        <f>BN61+BO61+BP61+BQ61+BR61+BS61+BT61+BU61</f>
        <v>#REF!</v>
      </c>
      <c r="BM61" s="92" t="s">
        <v>212</v>
      </c>
      <c r="BN61" s="21" t="e">
        <f>#REF!*12.1</f>
        <v>#REF!</v>
      </c>
      <c r="BO61" s="21">
        <f>130*12.1</f>
        <v>1573</v>
      </c>
      <c r="BP61" s="21" t="e">
        <f>#REF!*12.1</f>
        <v>#REF!</v>
      </c>
      <c r="BQ61" s="21" t="e">
        <f>#REF!*12.1</f>
        <v>#REF!</v>
      </c>
      <c r="BR61" s="21">
        <f>24*40</f>
        <v>960</v>
      </c>
      <c r="BS61" s="21">
        <f>11*12.1</f>
        <v>133.1</v>
      </c>
      <c r="BT61" s="21">
        <f>14*12.1</f>
        <v>169.4</v>
      </c>
      <c r="BU61" s="21">
        <f>156*12.1</f>
        <v>1887.6</v>
      </c>
    </row>
    <row r="62" spans="1:73" ht="15" customHeight="1" x14ac:dyDescent="0.2">
      <c r="J62" s="88"/>
      <c r="K62" s="88"/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  <c r="AQ62" s="88"/>
      <c r="AR62" s="88"/>
      <c r="AS62" s="88"/>
      <c r="AT62" s="88"/>
      <c r="AU62" s="88"/>
      <c r="AV62" s="88"/>
      <c r="AW62" s="88"/>
      <c r="AX62" s="88"/>
      <c r="AY62" s="88"/>
      <c r="AZ62" s="88"/>
      <c r="BA62" s="88"/>
      <c r="BB62" s="88"/>
      <c r="BC62" s="88"/>
      <c r="BD62" s="88"/>
      <c r="BE62" s="88"/>
      <c r="BF62" s="88"/>
      <c r="BG62" s="88"/>
      <c r="BH62" s="88"/>
      <c r="BI62" s="88"/>
      <c r="BJ62" s="89"/>
      <c r="BK62" s="90"/>
      <c r="BL62" s="93" t="e">
        <f>(BL59-BL55)/BL61</f>
        <v>#REF!</v>
      </c>
      <c r="BM62" s="92" t="s">
        <v>213</v>
      </c>
      <c r="BN62" s="94" t="e">
        <f t="shared" ref="BN62:BU62" si="21">BN59/BN61</f>
        <v>#REF!</v>
      </c>
      <c r="BO62" s="94">
        <f t="shared" si="21"/>
        <v>259005.93710108069</v>
      </c>
      <c r="BP62" s="95" t="e">
        <f t="shared" si="21"/>
        <v>#REF!</v>
      </c>
      <c r="BQ62" s="95" t="e">
        <f t="shared" si="21"/>
        <v>#REF!</v>
      </c>
      <c r="BR62" s="95">
        <f t="shared" si="21"/>
        <v>131962.41059374998</v>
      </c>
      <c r="BS62" s="95">
        <f t="shared" si="21"/>
        <v>2221133.5628850488</v>
      </c>
      <c r="BT62" s="95">
        <f t="shared" si="21"/>
        <v>1241490.9581463991</v>
      </c>
      <c r="BU62" s="95">
        <f t="shared" si="21"/>
        <v>143274.58483259167</v>
      </c>
    </row>
    <row r="63" spans="1:73" ht="15" customHeight="1" x14ac:dyDescent="0.2">
      <c r="J63" s="88"/>
      <c r="K63" s="88"/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  <c r="AQ63" s="88"/>
      <c r="AR63" s="88"/>
      <c r="AS63" s="88"/>
      <c r="AT63" s="88"/>
      <c r="AU63" s="88"/>
      <c r="AV63" s="88"/>
      <c r="AW63" s="88"/>
      <c r="AX63" s="88"/>
      <c r="AY63" s="88"/>
      <c r="AZ63" s="88"/>
      <c r="BA63" s="88"/>
      <c r="BB63" s="88"/>
      <c r="BC63" s="88"/>
      <c r="BD63" s="88"/>
      <c r="BE63" s="88"/>
      <c r="BF63" s="88"/>
      <c r="BG63" s="88"/>
      <c r="BH63" s="88">
        <f>14445239300</f>
        <v>14445239300</v>
      </c>
      <c r="BI63" s="88"/>
      <c r="BJ63" s="89"/>
      <c r="BK63" s="90"/>
      <c r="BL63" s="91"/>
    </row>
    <row r="64" spans="1:73" ht="15" customHeight="1" x14ac:dyDescent="0.2"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  <c r="AQ64" s="88"/>
      <c r="AR64" s="88"/>
      <c r="AS64" s="88"/>
      <c r="AT64" s="88"/>
      <c r="AU64" s="88"/>
      <c r="AV64" s="88"/>
      <c r="AW64" s="88"/>
      <c r="AX64" s="88"/>
      <c r="AY64" s="88"/>
      <c r="AZ64" s="88"/>
      <c r="BA64" s="88"/>
      <c r="BB64" s="88"/>
      <c r="BC64" s="88"/>
      <c r="BD64" s="88"/>
      <c r="BE64" s="88"/>
      <c r="BF64" s="88"/>
      <c r="BG64" s="88"/>
      <c r="BH64" s="88">
        <f>BL59-BH63</f>
        <v>158663569</v>
      </c>
      <c r="BI64" s="88"/>
      <c r="BJ64" s="89"/>
      <c r="BK64" s="90"/>
      <c r="BL64" s="91"/>
      <c r="BM64" s="96"/>
    </row>
    <row r="65" spans="10:73" ht="15" customHeight="1" x14ac:dyDescent="0.2">
      <c r="J65" s="88"/>
      <c r="K65" s="88"/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  <c r="AQ65" s="88"/>
      <c r="AR65" s="88"/>
      <c r="AS65" s="88"/>
      <c r="AT65" s="88"/>
      <c r="AU65" s="88"/>
      <c r="AV65" s="88"/>
      <c r="AW65" s="88"/>
      <c r="AX65" s="88"/>
      <c r="AY65" s="88"/>
      <c r="AZ65" s="88"/>
      <c r="BA65" s="88"/>
      <c r="BB65" s="88"/>
      <c r="BC65" s="88"/>
      <c r="BD65" s="88"/>
      <c r="BE65" s="88"/>
      <c r="BF65" s="88"/>
      <c r="BG65" s="88"/>
      <c r="BH65" s="88"/>
      <c r="BI65" s="88"/>
      <c r="BJ65" s="89"/>
      <c r="BK65" s="90"/>
      <c r="BL65" s="91"/>
    </row>
    <row r="66" spans="10:73" ht="15" customHeight="1" thickBot="1" x14ac:dyDescent="0.25">
      <c r="J66" s="88"/>
      <c r="K66" s="88"/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  <c r="AQ66" s="88"/>
      <c r="AR66" s="88"/>
      <c r="AS66" s="88"/>
      <c r="AT66" s="88"/>
      <c r="AU66" s="88"/>
      <c r="AV66" s="88"/>
      <c r="AW66" s="88"/>
      <c r="AX66" s="88"/>
      <c r="AY66" s="88"/>
      <c r="AZ66" s="88"/>
      <c r="BA66" s="88"/>
      <c r="BB66" s="88"/>
      <c r="BC66" s="88"/>
      <c r="BD66" s="88"/>
      <c r="BE66" s="88"/>
      <c r="BF66" s="88"/>
      <c r="BG66" s="88"/>
      <c r="BH66" s="88">
        <f>BH64/BH63</f>
        <v>1.0983796509345469E-2</v>
      </c>
      <c r="BI66" s="88"/>
      <c r="BJ66" s="89"/>
      <c r="BK66" s="90"/>
      <c r="BL66" s="91"/>
    </row>
    <row r="67" spans="10:73" ht="15" customHeight="1" thickBot="1" x14ac:dyDescent="0.25">
      <c r="J67" s="88"/>
      <c r="K67" s="88"/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  <c r="AP67" s="88"/>
      <c r="AQ67" s="88"/>
      <c r="AR67" s="88"/>
      <c r="AS67" s="88"/>
      <c r="AT67" s="88"/>
      <c r="AU67" s="88"/>
      <c r="AV67" s="88"/>
      <c r="AW67" s="88"/>
      <c r="AX67" s="88"/>
      <c r="AY67" s="88"/>
      <c r="AZ67" s="88"/>
      <c r="BA67" s="88"/>
      <c r="BB67" s="88"/>
      <c r="BC67" s="88"/>
      <c r="BD67" s="88"/>
      <c r="BE67" s="88"/>
      <c r="BF67" s="88"/>
      <c r="BG67" s="88"/>
      <c r="BH67" s="88">
        <f>BH66*100</f>
        <v>1.0983796509345469</v>
      </c>
      <c r="BI67" s="88"/>
      <c r="BJ67" s="89"/>
      <c r="BK67" s="90"/>
      <c r="BL67" s="97"/>
      <c r="BM67" s="97"/>
    </row>
    <row r="68" spans="10:73" ht="15" customHeight="1" thickBot="1" x14ac:dyDescent="0.25">
      <c r="J68" s="88"/>
      <c r="K68" s="88"/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  <c r="AQ68" s="88"/>
      <c r="AR68" s="88"/>
      <c r="AS68" s="88"/>
      <c r="AT68" s="88"/>
      <c r="AU68" s="88"/>
      <c r="AV68" s="88"/>
      <c r="AW68" s="88"/>
      <c r="AX68" s="88"/>
      <c r="AY68" s="88"/>
      <c r="AZ68" s="88"/>
      <c r="BA68" s="88"/>
      <c r="BB68" s="88"/>
      <c r="BC68" s="88"/>
      <c r="BD68" s="88"/>
      <c r="BE68" s="88"/>
      <c r="BF68" s="88"/>
      <c r="BG68" s="88"/>
      <c r="BH68" s="88"/>
      <c r="BI68" s="88"/>
      <c r="BJ68" s="89"/>
      <c r="BK68" s="90"/>
      <c r="BL68" s="98"/>
      <c r="BM68" s="98"/>
    </row>
    <row r="69" spans="10:73" ht="15" customHeight="1" thickBot="1" x14ac:dyDescent="0.25">
      <c r="J69" s="88"/>
      <c r="K69" s="88"/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  <c r="AQ69" s="88"/>
      <c r="AR69" s="88"/>
      <c r="AS69" s="88"/>
      <c r="AT69" s="88"/>
      <c r="AU69" s="88"/>
      <c r="AV69" s="88"/>
      <c r="AW69" s="88"/>
      <c r="AX69" s="88"/>
      <c r="AY69" s="88"/>
      <c r="AZ69" s="88"/>
      <c r="BA69" s="88"/>
      <c r="BB69" s="88"/>
      <c r="BC69" s="88"/>
      <c r="BD69" s="88"/>
      <c r="BE69" s="88"/>
      <c r="BF69" s="88"/>
      <c r="BG69" s="88"/>
      <c r="BH69" s="88"/>
      <c r="BI69" s="88"/>
      <c r="BJ69" s="89"/>
      <c r="BK69" s="90"/>
      <c r="BL69" s="99"/>
      <c r="BM69" s="99"/>
    </row>
    <row r="70" spans="10:73" ht="15" customHeight="1" thickBot="1" x14ac:dyDescent="0.25">
      <c r="J70" s="88"/>
      <c r="K70" s="88"/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  <c r="AQ70" s="88"/>
      <c r="AR70" s="88"/>
      <c r="AS70" s="88"/>
      <c r="AT70" s="88"/>
      <c r="AU70" s="88"/>
      <c r="AV70" s="88"/>
      <c r="AW70" s="88"/>
      <c r="AX70" s="88"/>
      <c r="AY70" s="88"/>
      <c r="AZ70" s="88"/>
      <c r="BA70" s="88"/>
      <c r="BB70" s="88"/>
      <c r="BC70" s="88"/>
      <c r="BD70" s="88"/>
      <c r="BE70" s="88"/>
      <c r="BF70" s="88"/>
      <c r="BG70" s="88"/>
      <c r="BH70" s="100"/>
      <c r="BI70" s="88"/>
      <c r="BJ70" s="89"/>
      <c r="BK70" s="101"/>
      <c r="BL70" s="99"/>
      <c r="BM70" s="99"/>
    </row>
    <row r="71" spans="10:73" ht="15" customHeight="1" thickBot="1" x14ac:dyDescent="0.25"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  <c r="AQ71" s="88"/>
      <c r="AR71" s="88"/>
      <c r="AS71" s="88"/>
      <c r="AT71" s="88"/>
      <c r="AU71" s="88"/>
      <c r="AV71" s="88"/>
      <c r="AW71" s="88"/>
      <c r="AX71" s="88"/>
      <c r="AY71" s="88"/>
      <c r="AZ71" s="88"/>
      <c r="BA71" s="88"/>
      <c r="BB71" s="88"/>
      <c r="BC71" s="88"/>
      <c r="BD71" s="88"/>
      <c r="BE71" s="88"/>
      <c r="BF71" s="88"/>
      <c r="BG71" s="88"/>
      <c r="BH71" s="88"/>
      <c r="BI71" s="88"/>
      <c r="BJ71" s="89"/>
      <c r="BK71" s="90"/>
      <c r="BL71" s="98"/>
      <c r="BM71" s="98"/>
    </row>
    <row r="72" spans="10:73" ht="15" customHeight="1" thickBot="1" x14ac:dyDescent="0.25">
      <c r="J72" s="88"/>
      <c r="K72" s="88"/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  <c r="AQ72" s="88"/>
      <c r="AR72" s="88"/>
      <c r="AS72" s="88"/>
      <c r="AT72" s="88"/>
      <c r="AU72" s="88"/>
      <c r="AV72" s="88"/>
      <c r="AW72" s="88"/>
      <c r="AX72" s="88"/>
      <c r="AY72" s="88"/>
      <c r="AZ72" s="88"/>
      <c r="BA72" s="88"/>
      <c r="BB72" s="88"/>
      <c r="BC72" s="88"/>
      <c r="BD72" s="88"/>
      <c r="BE72" s="88"/>
      <c r="BF72" s="88"/>
      <c r="BG72" s="88"/>
      <c r="BH72" s="88"/>
      <c r="BI72" s="88"/>
      <c r="BJ72" s="89"/>
      <c r="BK72" s="90"/>
      <c r="BL72" s="98"/>
      <c r="BM72" s="98"/>
    </row>
    <row r="73" spans="10:73" ht="15" customHeight="1" x14ac:dyDescent="0.25">
      <c r="J73" s="88"/>
      <c r="K73" s="88"/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  <c r="AQ73" s="88"/>
      <c r="AR73" s="88"/>
      <c r="AS73" s="88"/>
      <c r="AT73" s="88"/>
      <c r="AU73" s="88"/>
      <c r="AV73" s="88"/>
      <c r="AW73" s="88"/>
      <c r="AX73" s="88"/>
      <c r="AY73" s="88"/>
      <c r="AZ73" s="88"/>
      <c r="BA73" s="88"/>
      <c r="BB73" s="88"/>
      <c r="BC73" s="88"/>
      <c r="BD73" s="88"/>
      <c r="BE73" s="88"/>
      <c r="BF73" s="88"/>
      <c r="BG73" s="88"/>
      <c r="BH73" s="88"/>
      <c r="BI73" s="88"/>
      <c r="BJ73" s="89"/>
      <c r="BK73" s="90"/>
      <c r="BL73" s="102"/>
      <c r="BM73" s="102"/>
      <c r="BN73" s="102"/>
      <c r="BO73" s="102"/>
      <c r="BP73" s="103"/>
      <c r="BQ73" s="103"/>
      <c r="BR73" s="104"/>
      <c r="BS73" s="104"/>
      <c r="BT73" s="105"/>
      <c r="BU73" s="106"/>
    </row>
    <row r="74" spans="10:73" ht="15" customHeight="1" thickBot="1" x14ac:dyDescent="0.25">
      <c r="J74" s="88"/>
      <c r="K74" s="88"/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  <c r="AQ74" s="88"/>
      <c r="AR74" s="88"/>
      <c r="AS74" s="88"/>
      <c r="AT74" s="88"/>
      <c r="AU74" s="88"/>
      <c r="AV74" s="88"/>
      <c r="AW74" s="88"/>
      <c r="AX74" s="88"/>
      <c r="AY74" s="88"/>
      <c r="AZ74" s="88"/>
      <c r="BA74" s="88"/>
      <c r="BB74" s="88"/>
      <c r="BC74" s="88"/>
      <c r="BD74" s="88"/>
      <c r="BE74" s="88"/>
      <c r="BF74" s="88"/>
      <c r="BG74" s="88"/>
      <c r="BH74" s="88"/>
      <c r="BI74" s="88"/>
      <c r="BJ74" s="89"/>
      <c r="BK74" s="90"/>
      <c r="BL74" s="98"/>
      <c r="BM74" s="98"/>
    </row>
    <row r="75" spans="10:73" ht="15" customHeight="1" thickBot="1" x14ac:dyDescent="0.25">
      <c r="J75" s="88"/>
      <c r="K75" s="88"/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  <c r="AQ75" s="88"/>
      <c r="AR75" s="88"/>
      <c r="AS75" s="88"/>
      <c r="AT75" s="88"/>
      <c r="AU75" s="88"/>
      <c r="AV75" s="88"/>
      <c r="AW75" s="88"/>
      <c r="AX75" s="88"/>
      <c r="AY75" s="88"/>
      <c r="AZ75" s="88"/>
      <c r="BA75" s="88"/>
      <c r="BB75" s="88"/>
      <c r="BC75" s="88"/>
      <c r="BD75" s="88"/>
      <c r="BE75" s="88"/>
      <c r="BF75" s="88"/>
      <c r="BG75" s="88"/>
      <c r="BH75" s="88"/>
      <c r="BI75" s="88"/>
      <c r="BJ75" s="89"/>
      <c r="BK75" s="90"/>
      <c r="BL75" s="107"/>
      <c r="BM75" s="107"/>
    </row>
    <row r="76" spans="10:73" ht="15" customHeight="1" thickBot="1" x14ac:dyDescent="0.25">
      <c r="J76" s="88"/>
      <c r="K76" s="88"/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  <c r="AQ76" s="88"/>
      <c r="AR76" s="88"/>
      <c r="AS76" s="88"/>
      <c r="AT76" s="88"/>
      <c r="AU76" s="88"/>
      <c r="AV76" s="88"/>
      <c r="AW76" s="88"/>
      <c r="AX76" s="88"/>
      <c r="AY76" s="88"/>
      <c r="AZ76" s="88"/>
      <c r="BA76" s="88"/>
      <c r="BB76" s="88"/>
      <c r="BC76" s="88"/>
      <c r="BD76" s="88"/>
      <c r="BE76" s="88"/>
      <c r="BF76" s="88"/>
      <c r="BG76" s="88"/>
      <c r="BH76" s="88"/>
      <c r="BI76" s="88"/>
      <c r="BJ76" s="89"/>
      <c r="BK76" s="90"/>
      <c r="BL76" s="98"/>
      <c r="BM76" s="98"/>
    </row>
    <row r="77" spans="10:73" ht="15" customHeight="1" thickBot="1" x14ac:dyDescent="0.25">
      <c r="J77" s="88"/>
      <c r="K77" s="88"/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  <c r="AQ77" s="88"/>
      <c r="AR77" s="88"/>
      <c r="AS77" s="88"/>
      <c r="AT77" s="88"/>
      <c r="AU77" s="88"/>
      <c r="AV77" s="88"/>
      <c r="AW77" s="88"/>
      <c r="AX77" s="88"/>
      <c r="AY77" s="88"/>
      <c r="AZ77" s="88"/>
      <c r="BA77" s="88"/>
      <c r="BB77" s="88"/>
      <c r="BC77" s="88"/>
      <c r="BD77" s="88"/>
      <c r="BE77" s="88"/>
      <c r="BF77" s="88"/>
      <c r="BG77" s="88"/>
      <c r="BH77" s="88"/>
      <c r="BI77" s="88"/>
      <c r="BJ77" s="89"/>
      <c r="BK77" s="90"/>
      <c r="BL77" s="98"/>
      <c r="BM77" s="98"/>
    </row>
    <row r="78" spans="10:73" ht="15" customHeight="1" thickBot="1" x14ac:dyDescent="0.25">
      <c r="J78" s="88"/>
      <c r="K78" s="88"/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  <c r="AQ78" s="88"/>
      <c r="AR78" s="88"/>
      <c r="AS78" s="88"/>
      <c r="AT78" s="88"/>
      <c r="AU78" s="88"/>
      <c r="AV78" s="88"/>
      <c r="AW78" s="88"/>
      <c r="AX78" s="88"/>
      <c r="AY78" s="88"/>
      <c r="AZ78" s="88"/>
      <c r="BA78" s="88"/>
      <c r="BB78" s="88"/>
      <c r="BC78" s="88"/>
      <c r="BD78" s="88"/>
      <c r="BE78" s="88"/>
      <c r="BF78" s="88"/>
      <c r="BG78" s="88"/>
      <c r="BH78" s="88"/>
      <c r="BI78" s="88"/>
      <c r="BJ78" s="89"/>
      <c r="BK78" s="90"/>
      <c r="BL78" s="98"/>
      <c r="BM78" s="98"/>
    </row>
    <row r="79" spans="10:73" ht="15" customHeight="1" thickBot="1" x14ac:dyDescent="0.25">
      <c r="J79" s="88"/>
      <c r="K79" s="88"/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  <c r="AQ79" s="88"/>
      <c r="AR79" s="88"/>
      <c r="AS79" s="88"/>
      <c r="AT79" s="88"/>
      <c r="AU79" s="88"/>
      <c r="AV79" s="88"/>
      <c r="AW79" s="88"/>
      <c r="AX79" s="88"/>
      <c r="AY79" s="88"/>
      <c r="AZ79" s="88"/>
      <c r="BA79" s="88"/>
      <c r="BB79" s="88"/>
      <c r="BC79" s="88"/>
      <c r="BD79" s="88"/>
      <c r="BE79" s="88"/>
      <c r="BF79" s="88"/>
      <c r="BG79" s="88"/>
      <c r="BH79" s="88"/>
      <c r="BI79" s="88"/>
      <c r="BJ79" s="89"/>
      <c r="BK79" s="90"/>
      <c r="BL79" s="98"/>
      <c r="BM79" s="98"/>
    </row>
    <row r="80" spans="10:73" ht="15" customHeight="1" thickBot="1" x14ac:dyDescent="0.25"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  <c r="AQ80" s="88"/>
      <c r="AR80" s="88"/>
      <c r="AS80" s="88"/>
      <c r="AT80" s="88"/>
      <c r="AU80" s="88"/>
      <c r="AV80" s="88"/>
      <c r="AW80" s="88"/>
      <c r="AX80" s="88"/>
      <c r="AY80" s="88"/>
      <c r="AZ80" s="88"/>
      <c r="BA80" s="88"/>
      <c r="BB80" s="88"/>
      <c r="BC80" s="88"/>
      <c r="BD80" s="88"/>
      <c r="BE80" s="88"/>
      <c r="BF80" s="88"/>
      <c r="BG80" s="88"/>
      <c r="BH80" s="88"/>
      <c r="BI80" s="88"/>
      <c r="BJ80" s="89"/>
      <c r="BK80" s="90"/>
      <c r="BL80" s="98"/>
      <c r="BM80" s="98"/>
    </row>
    <row r="81" spans="10:65" ht="15" customHeight="1" thickBot="1" x14ac:dyDescent="0.25">
      <c r="J81" s="88"/>
      <c r="K81" s="88"/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  <c r="AQ81" s="88"/>
      <c r="AR81" s="88"/>
      <c r="AS81" s="88"/>
      <c r="AT81" s="88"/>
      <c r="AU81" s="88"/>
      <c r="AV81" s="88"/>
      <c r="AW81" s="88"/>
      <c r="AX81" s="88"/>
      <c r="AY81" s="88"/>
      <c r="AZ81" s="88"/>
      <c r="BA81" s="88"/>
      <c r="BB81" s="88"/>
      <c r="BC81" s="88"/>
      <c r="BD81" s="88"/>
      <c r="BE81" s="88"/>
      <c r="BF81" s="88"/>
      <c r="BG81" s="88"/>
      <c r="BH81" s="88"/>
      <c r="BI81" s="88"/>
      <c r="BJ81" s="89"/>
      <c r="BK81" s="90"/>
      <c r="BL81" s="98"/>
      <c r="BM81" s="98"/>
    </row>
    <row r="82" spans="10:65" ht="15" customHeight="1" thickBot="1" x14ac:dyDescent="0.25">
      <c r="J82" s="88"/>
      <c r="K82" s="88"/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  <c r="AQ82" s="88"/>
      <c r="AR82" s="88"/>
      <c r="AS82" s="88"/>
      <c r="AT82" s="88"/>
      <c r="AU82" s="88"/>
      <c r="AV82" s="88"/>
      <c r="AW82" s="88"/>
      <c r="AX82" s="88"/>
      <c r="AY82" s="88"/>
      <c r="AZ82" s="88"/>
      <c r="BA82" s="88"/>
      <c r="BB82" s="88"/>
      <c r="BC82" s="88"/>
      <c r="BD82" s="88"/>
      <c r="BE82" s="88"/>
      <c r="BF82" s="88"/>
      <c r="BG82" s="88"/>
      <c r="BH82" s="88"/>
      <c r="BI82" s="88"/>
      <c r="BJ82" s="89"/>
      <c r="BK82" s="90"/>
      <c r="BL82" s="98"/>
      <c r="BM82" s="98"/>
    </row>
    <row r="83" spans="10:65" ht="15" customHeight="1" thickBot="1" x14ac:dyDescent="0.25">
      <c r="J83" s="88"/>
      <c r="K83" s="88"/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  <c r="AQ83" s="88"/>
      <c r="AR83" s="88"/>
      <c r="AS83" s="88"/>
      <c r="AT83" s="88"/>
      <c r="AU83" s="88"/>
      <c r="AV83" s="88"/>
      <c r="AW83" s="88"/>
      <c r="AX83" s="88"/>
      <c r="AY83" s="88"/>
      <c r="AZ83" s="88"/>
      <c r="BA83" s="88"/>
      <c r="BB83" s="88"/>
      <c r="BC83" s="88"/>
      <c r="BD83" s="88"/>
      <c r="BE83" s="88"/>
      <c r="BF83" s="88"/>
      <c r="BG83" s="88"/>
      <c r="BH83" s="88"/>
      <c r="BI83" s="88"/>
      <c r="BJ83" s="89"/>
      <c r="BK83" s="90"/>
      <c r="BL83" s="98"/>
      <c r="BM83" s="98"/>
    </row>
    <row r="84" spans="10:65" ht="15" customHeight="1" thickBot="1" x14ac:dyDescent="0.25">
      <c r="J84" s="88"/>
      <c r="K84" s="88"/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  <c r="AQ84" s="88"/>
      <c r="AR84" s="88"/>
      <c r="AS84" s="88"/>
      <c r="AT84" s="88"/>
      <c r="AU84" s="88"/>
      <c r="AV84" s="88"/>
      <c r="AW84" s="88"/>
      <c r="AX84" s="88"/>
      <c r="AY84" s="88"/>
      <c r="AZ84" s="88"/>
      <c r="BA84" s="88"/>
      <c r="BB84" s="88"/>
      <c r="BC84" s="88"/>
      <c r="BD84" s="88"/>
      <c r="BE84" s="88"/>
      <c r="BF84" s="88"/>
      <c r="BG84" s="88"/>
      <c r="BH84" s="88"/>
      <c r="BI84" s="88"/>
      <c r="BJ84" s="89"/>
      <c r="BK84" s="90"/>
      <c r="BL84" s="98"/>
      <c r="BM84" s="98"/>
    </row>
    <row r="85" spans="10:65" ht="5.65" customHeight="1" thickBot="1" x14ac:dyDescent="0.25">
      <c r="BL85" s="98"/>
      <c r="BM85" s="98"/>
    </row>
    <row r="86" spans="10:65" ht="5.65" customHeight="1" thickBot="1" x14ac:dyDescent="0.25">
      <c r="BL86" s="98"/>
      <c r="BM86" s="98"/>
    </row>
    <row r="87" spans="10:65" ht="5.65" customHeight="1" thickBot="1" x14ac:dyDescent="0.25">
      <c r="BL87" s="98"/>
      <c r="BM87" s="98"/>
    </row>
    <row r="88" spans="10:65" ht="5.65" customHeight="1" thickBot="1" x14ac:dyDescent="0.25">
      <c r="BL88" s="98"/>
      <c r="BM88" s="98"/>
    </row>
    <row r="89" spans="10:65" ht="16.5" thickBot="1" x14ac:dyDescent="0.25">
      <c r="BL89" s="98"/>
      <c r="BM89" s="98"/>
    </row>
    <row r="90" spans="10:65" ht="5.65" customHeight="1" thickBot="1" x14ac:dyDescent="0.25">
      <c r="BL90" s="98"/>
      <c r="BM90" s="98"/>
    </row>
    <row r="91" spans="10:65" ht="5.65" customHeight="1" thickBot="1" x14ac:dyDescent="0.25">
      <c r="BL91" s="98"/>
      <c r="BM91" s="98"/>
    </row>
    <row r="92" spans="10:65" ht="5.65" customHeight="1" thickBot="1" x14ac:dyDescent="0.25">
      <c r="BL92" s="98"/>
      <c r="BM92" s="98"/>
    </row>
    <row r="93" spans="10:65" ht="5.65" customHeight="1" thickBot="1" x14ac:dyDescent="0.25">
      <c r="BL93" s="98"/>
      <c r="BM93" s="98"/>
    </row>
    <row r="94" spans="10:65" ht="5.65" customHeight="1" thickBot="1" x14ac:dyDescent="0.25">
      <c r="BL94" s="98"/>
      <c r="BM94" s="98"/>
    </row>
    <row r="95" spans="10:65" ht="5.65" customHeight="1" thickBot="1" x14ac:dyDescent="0.25">
      <c r="BL95" s="98"/>
      <c r="BM95" s="98"/>
    </row>
    <row r="96" spans="10:65" ht="5.65" customHeight="1" thickBot="1" x14ac:dyDescent="0.25">
      <c r="BL96" s="98"/>
      <c r="BM96" s="98"/>
    </row>
    <row r="97" spans="64:65" ht="5.65" customHeight="1" thickBot="1" x14ac:dyDescent="0.25">
      <c r="BL97" s="98"/>
      <c r="BM97" s="98"/>
    </row>
    <row r="98" spans="64:65" ht="5.65" customHeight="1" thickBot="1" x14ac:dyDescent="0.25">
      <c r="BL98" s="98"/>
      <c r="BM98" s="98"/>
    </row>
    <row r="99" spans="64:65" ht="5.65" customHeight="1" thickBot="1" x14ac:dyDescent="0.25">
      <c r="BL99" s="99"/>
      <c r="BM99" s="99"/>
    </row>
    <row r="100" spans="64:65" ht="5.65" customHeight="1" thickBot="1" x14ac:dyDescent="0.25">
      <c r="BL100" s="98"/>
      <c r="BM100" s="98"/>
    </row>
    <row r="101" spans="64:65" ht="5.65" customHeight="1" thickBot="1" x14ac:dyDescent="0.25">
      <c r="BL101" s="98"/>
      <c r="BM101" s="98"/>
    </row>
    <row r="102" spans="64:65" ht="5.65" customHeight="1" thickBot="1" x14ac:dyDescent="0.25">
      <c r="BL102" s="98"/>
      <c r="BM102" s="98"/>
    </row>
    <row r="106" spans="64:65" ht="19.5" customHeight="1" x14ac:dyDescent="0.2">
      <c r="BM106" s="112">
        <f>SUM(BM67:BM105)</f>
        <v>0</v>
      </c>
    </row>
  </sheetData>
  <mergeCells count="4">
    <mergeCell ref="A1:BL1"/>
    <mergeCell ref="A2:BL2"/>
    <mergeCell ref="A3:BL3"/>
    <mergeCell ref="A59:BK59"/>
  </mergeCells>
  <printOptions horizontalCentered="1"/>
  <pageMargins left="0.5" right="0.5" top="0.75" bottom="0.5" header="0" footer="0"/>
  <pageSetup paperSize="9" scale="40" fitToHeight="3" orientation="landscape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6566400-C5CF-4F8C-9D6D-91779F71CEBB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Enginnering Sheet</vt:lpstr>
      <vt:lpstr>'Enginnering Sheet'!Print_Area</vt:lpstr>
      <vt:lpstr>'Enginnering Sheet'!Print_Titles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Hazib</dc:creator>
  <cp:lastModifiedBy>Muhammad Hazib</cp:lastModifiedBy>
  <dcterms:created xsi:type="dcterms:W3CDTF">2025-05-21T07:53:00Z</dcterms:created>
  <dcterms:modified xsi:type="dcterms:W3CDTF">2025-05-21T08:01:31Z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{26566400-C5CF-4F8C-9D6D-91779F71CEBB}</vt:lpwstr>
  </property>
</Properties>
</file>
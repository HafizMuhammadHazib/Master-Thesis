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H\Desktop\Carbon emission of bridge Project 2.0\Supplementry\"/>
    </mc:Choice>
  </mc:AlternateContent>
  <xr:revisionPtr revIDLastSave="0" documentId="13_ncr:1_{2457D7A8-CE0B-49AA-8613-562DB8B1064A}" xr6:coauthVersionLast="47" xr6:coauthVersionMax="47" xr10:uidLastSave="{00000000-0000-0000-0000-000000000000}"/>
  <bookViews>
    <workbookView xWindow="4275" yWindow="3930" windowWidth="21600" windowHeight="11295" xr2:uid="{AA95C5B6-77D6-4D54-9074-713E83639173}"/>
  </bookViews>
  <sheets>
    <sheet name="ADQI Material" sheetId="1" r:id="rId1"/>
  </sheets>
  <definedNames>
    <definedName name="\B">#REF!</definedName>
    <definedName name="\X">#REF!</definedName>
    <definedName name="\z">#REF!</definedName>
    <definedName name="_________C">#REF!</definedName>
    <definedName name="________C">#REF!</definedName>
    <definedName name="_______C">#REF!</definedName>
    <definedName name="______C">#REF!</definedName>
    <definedName name="_____C">#REF!</definedName>
    <definedName name="____C">#REF!</definedName>
    <definedName name="___C">#REF!</definedName>
    <definedName name="__C">#REF!</definedName>
    <definedName name="_C">#REF!</definedName>
    <definedName name="_Fill" hidden="1">#REF!</definedName>
    <definedName name="_Key1" hidden="1">#REF!</definedName>
    <definedName name="_Order1" hidden="1">255</definedName>
    <definedName name="_Sort" hidden="1">#REF!</definedName>
    <definedName name="A">#REF!</definedName>
    <definedName name="asdfg">#REF!</definedName>
    <definedName name="B">#REF!</definedName>
    <definedName name="cem">#REF!</definedName>
    <definedName name="cs">#REF!</definedName>
    <definedName name="D">#REF!</definedName>
    <definedName name="dfgg">#REF!</definedName>
    <definedName name="fds">#REF!</definedName>
    <definedName name="gg">#REF!</definedName>
    <definedName name="lpsan">#REF!</definedName>
    <definedName name="mak">#REF!</definedName>
    <definedName name="oh">#REF!</definedName>
    <definedName name="_xlnm.Print_Area">#REF!</definedName>
    <definedName name="PRINT_AREA_MI">#REF!</definedName>
    <definedName name="_xlnm.Print_Titles">#N/A</definedName>
    <definedName name="san">#REF!</definedName>
    <definedName name="sbl">#REF!</definedName>
    <definedName name="scol">#REF!</definedName>
    <definedName name="sff">#REF!</definedName>
    <definedName name="shbl">#REF!</definedName>
    <definedName name="shcol">#REF!</definedName>
    <definedName name="shf">#REF!</definedName>
    <definedName name="shsb">#REF!</definedName>
    <definedName name="sof">#REF!</definedName>
    <definedName name="T">#REF!</definedName>
    <definedName name="TEMP">#REF!</definedName>
    <definedName name="tr">#REF!</definedName>
    <definedName name="tt" hidden="1">#REF!</definedName>
    <definedName name="ttt" hidden="1">#REF!</definedName>
    <definedName name="tttt" hidden="1">#REF!</definedName>
    <definedName name="ttttt">#REF!</definedName>
    <definedName name="w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0" i="1" l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AC9" i="1"/>
  <c r="AC8" i="1"/>
  <c r="AC7" i="1"/>
  <c r="AC6" i="1"/>
  <c r="AC5" i="1"/>
  <c r="AC4" i="1"/>
  <c r="AC3" i="1"/>
</calcChain>
</file>

<file path=xl/sharedStrings.xml><?xml version="1.0" encoding="utf-8"?>
<sst xmlns="http://schemas.openxmlformats.org/spreadsheetml/2006/main" count="38" uniqueCount="37">
  <si>
    <t>Sr No</t>
  </si>
  <si>
    <t>Total</t>
  </si>
  <si>
    <t>Material</t>
  </si>
  <si>
    <t>Precast Concrete Class D2</t>
  </si>
  <si>
    <t>Concrete Class A1</t>
  </si>
  <si>
    <t>Concrete class A3</t>
  </si>
  <si>
    <t xml:space="preserve"> Lean Concrete</t>
  </si>
  <si>
    <t>M31.Grade 60.</t>
  </si>
  <si>
    <t xml:space="preserve">ASTM-A-36 Structural Shape </t>
  </si>
  <si>
    <t xml:space="preserve">Pre-stressing wiring strands 3/8"-1/2" </t>
  </si>
  <si>
    <t xml:space="preserve">PVC </t>
  </si>
  <si>
    <t>G.I. drain pipes</t>
  </si>
  <si>
    <t>Elastomeric Bearing Pads</t>
  </si>
  <si>
    <t xml:space="preserve">Bitumen (kg) </t>
  </si>
  <si>
    <t>Electricity</t>
  </si>
  <si>
    <t>Water</t>
  </si>
  <si>
    <t xml:space="preserve">Steel </t>
  </si>
  <si>
    <t>Neoprene Rubber</t>
  </si>
  <si>
    <t>Formwork</t>
  </si>
  <si>
    <t>Polysulphide</t>
  </si>
  <si>
    <t xml:space="preserve">polypropylene </t>
  </si>
  <si>
    <t>Natural Gas</t>
  </si>
  <si>
    <t xml:space="preserve">Diesel </t>
  </si>
  <si>
    <t>Petrol/Gasoline</t>
  </si>
  <si>
    <t xml:space="preserve">Excavation </t>
  </si>
  <si>
    <t xml:space="preserve">Back fill </t>
  </si>
  <si>
    <t xml:space="preserve">Piles </t>
  </si>
  <si>
    <t>Grouted Rip Rap</t>
  </si>
  <si>
    <t>Aggregate</t>
  </si>
  <si>
    <t>Sand</t>
  </si>
  <si>
    <t>Data Consistency</t>
  </si>
  <si>
    <t>Temporal Corellation</t>
  </si>
  <si>
    <t>Data Source</t>
  </si>
  <si>
    <t>Data Reliability</t>
  </si>
  <si>
    <t>Geographical Correlation</t>
  </si>
  <si>
    <t>Sufficiency of References</t>
  </si>
  <si>
    <t>Data Completeness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</si>
</sst>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2" fontId="3" fillId="2" borderId="13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2" fontId="3" fillId="2" borderId="18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2" fontId="3" fillId="2" borderId="23" xfId="0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2" fontId="5" fillId="2" borderId="25" xfId="1" applyNumberFormat="1" applyFont="1" applyFill="1" applyBorder="1" applyAlignment="1">
      <alignment horizontal="center" vertical="center"/>
    </xf>
    <xf numFmtId="164" fontId="5" fillId="2" borderId="25" xfId="1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A64A9-E10B-4BBB-9DFD-9A34A9FC1445}">
  <dimension ref="A1:AC10"/>
  <sheetViews>
    <sheetView tabSelected="1" zoomScale="55" zoomScaleNormal="55" workbookViewId="0">
      <selection activeCell="H15" sqref="H15"/>
    </sheetView>
  </sheetViews>
  <sheetFormatPr defaultColWidth="9.140625" defaultRowHeight="30" customHeight="1" x14ac:dyDescent="0.25"/>
  <cols>
    <col min="1" max="1" width="23.140625" style="5" bestFit="1" customWidth="1"/>
    <col min="2" max="2" width="10" style="5" bestFit="1" customWidth="1"/>
    <col min="3" max="3" width="24.140625" style="5" bestFit="1" customWidth="1"/>
    <col min="4" max="4" width="14.140625" style="5" bestFit="1" customWidth="1"/>
    <col min="5" max="5" width="10" style="5" bestFit="1" customWidth="1"/>
    <col min="6" max="6" width="12.140625" style="5" bestFit="1" customWidth="1"/>
    <col min="7" max="7" width="13.28515625" style="5" bestFit="1" customWidth="1"/>
    <col min="8" max="8" width="15.140625" style="5" bestFit="1" customWidth="1"/>
    <col min="9" max="9" width="7.28515625" style="5" bestFit="1" customWidth="1"/>
    <col min="10" max="12" width="14" style="5" customWidth="1"/>
    <col min="13" max="13" width="11" style="5" bestFit="1" customWidth="1"/>
    <col min="14" max="15" width="7.28515625" style="5" bestFit="1" customWidth="1"/>
    <col min="16" max="16" width="10.42578125" style="5" bestFit="1" customWidth="1"/>
    <col min="17" max="17" width="11.5703125" style="5" bestFit="1" customWidth="1"/>
    <col min="18" max="18" width="13.28515625" style="5" bestFit="1" customWidth="1"/>
    <col min="19" max="19" width="13.7109375" style="5" bestFit="1" customWidth="1"/>
    <col min="20" max="20" width="12.5703125" style="5" bestFit="1" customWidth="1"/>
    <col min="21" max="21" width="7.28515625" style="5" bestFit="1" customWidth="1"/>
    <col min="22" max="22" width="13.5703125" style="5" bestFit="1" customWidth="1"/>
    <col min="23" max="23" width="11.7109375" style="5" bestFit="1" customWidth="1"/>
    <col min="24" max="24" width="9.140625" style="5" bestFit="1" customWidth="1"/>
    <col min="25" max="25" width="7.28515625" style="5" bestFit="1" customWidth="1"/>
    <col min="26" max="26" width="13" style="5" bestFit="1" customWidth="1"/>
    <col min="27" max="27" width="11" style="5" bestFit="1" customWidth="1"/>
    <col min="28" max="28" width="7.28515625" style="5" bestFit="1" customWidth="1"/>
    <col min="29" max="29" width="9.28515625" style="5" bestFit="1" customWidth="1"/>
    <col min="30" max="16384" width="9.140625" style="5"/>
  </cols>
  <sheetData>
    <row r="1" spans="1:29" ht="30" customHeight="1" thickBot="1" x14ac:dyDescent="0.3">
      <c r="A1" s="1" t="s">
        <v>0</v>
      </c>
      <c r="B1" s="2">
        <v>1</v>
      </c>
      <c r="C1" s="1">
        <v>2</v>
      </c>
      <c r="D1" s="2">
        <v>3</v>
      </c>
      <c r="E1" s="1">
        <v>4</v>
      </c>
      <c r="F1" s="2">
        <v>5</v>
      </c>
      <c r="G1" s="1">
        <v>6</v>
      </c>
      <c r="H1" s="2">
        <v>7</v>
      </c>
      <c r="I1" s="1">
        <v>8</v>
      </c>
      <c r="J1" s="2">
        <v>9</v>
      </c>
      <c r="K1" s="1">
        <v>10</v>
      </c>
      <c r="L1" s="2">
        <v>11</v>
      </c>
      <c r="M1" s="1">
        <v>12</v>
      </c>
      <c r="N1" s="2">
        <v>13</v>
      </c>
      <c r="O1" s="1">
        <v>14</v>
      </c>
      <c r="P1" s="2">
        <v>15</v>
      </c>
      <c r="Q1" s="1">
        <v>16</v>
      </c>
      <c r="R1" s="2">
        <v>17</v>
      </c>
      <c r="S1" s="1">
        <v>18</v>
      </c>
      <c r="T1" s="2">
        <v>19</v>
      </c>
      <c r="U1" s="1">
        <v>20</v>
      </c>
      <c r="V1" s="2">
        <v>21</v>
      </c>
      <c r="W1" s="1">
        <v>22</v>
      </c>
      <c r="X1" s="2">
        <v>23</v>
      </c>
      <c r="Y1" s="1">
        <v>24</v>
      </c>
      <c r="Z1" s="2">
        <v>25</v>
      </c>
      <c r="AA1" s="1">
        <v>26</v>
      </c>
      <c r="AB1" s="3">
        <v>27</v>
      </c>
      <c r="AC1" s="4" t="s">
        <v>1</v>
      </c>
    </row>
    <row r="2" spans="1:29" s="10" customFormat="1" ht="87.75" customHeight="1" thickBot="1" x14ac:dyDescent="0.3">
      <c r="A2" s="6" t="s">
        <v>2</v>
      </c>
      <c r="B2" s="7" t="s">
        <v>3</v>
      </c>
      <c r="C2" s="6" t="s">
        <v>4</v>
      </c>
      <c r="D2" s="7" t="s">
        <v>5</v>
      </c>
      <c r="E2" s="6" t="s">
        <v>6</v>
      </c>
      <c r="F2" s="7" t="s">
        <v>7</v>
      </c>
      <c r="G2" s="6" t="s">
        <v>8</v>
      </c>
      <c r="H2" s="7" t="s">
        <v>9</v>
      </c>
      <c r="I2" s="6" t="s">
        <v>10</v>
      </c>
      <c r="J2" s="7" t="s">
        <v>11</v>
      </c>
      <c r="K2" s="6" t="s">
        <v>12</v>
      </c>
      <c r="L2" s="7" t="s">
        <v>13</v>
      </c>
      <c r="M2" s="6" t="s">
        <v>14</v>
      </c>
      <c r="N2" s="7" t="s">
        <v>15</v>
      </c>
      <c r="O2" s="6" t="s">
        <v>16</v>
      </c>
      <c r="P2" s="7" t="s">
        <v>17</v>
      </c>
      <c r="Q2" s="6" t="s">
        <v>18</v>
      </c>
      <c r="R2" s="7" t="s">
        <v>19</v>
      </c>
      <c r="S2" s="6" t="s">
        <v>20</v>
      </c>
      <c r="T2" s="7" t="s">
        <v>21</v>
      </c>
      <c r="U2" s="6" t="s">
        <v>22</v>
      </c>
      <c r="V2" s="7" t="s">
        <v>23</v>
      </c>
      <c r="W2" s="6" t="s">
        <v>24</v>
      </c>
      <c r="X2" s="7" t="s">
        <v>25</v>
      </c>
      <c r="Y2" s="6" t="s">
        <v>26</v>
      </c>
      <c r="Z2" s="7" t="s">
        <v>27</v>
      </c>
      <c r="AA2" s="6" t="s">
        <v>28</v>
      </c>
      <c r="AB2" s="8" t="s">
        <v>29</v>
      </c>
      <c r="AC2" s="9"/>
    </row>
    <row r="3" spans="1:29" ht="18.75" x14ac:dyDescent="0.25">
      <c r="A3" s="11" t="s">
        <v>30</v>
      </c>
      <c r="B3" s="12">
        <v>5</v>
      </c>
      <c r="C3" s="13">
        <v>5</v>
      </c>
      <c r="D3" s="13">
        <v>5</v>
      </c>
      <c r="E3" s="13">
        <v>5</v>
      </c>
      <c r="F3" s="13">
        <v>5</v>
      </c>
      <c r="G3" s="13">
        <v>5</v>
      </c>
      <c r="H3" s="13">
        <v>5</v>
      </c>
      <c r="I3" s="13">
        <v>5</v>
      </c>
      <c r="J3" s="13">
        <v>3</v>
      </c>
      <c r="K3" s="13">
        <v>5</v>
      </c>
      <c r="L3" s="13">
        <v>5</v>
      </c>
      <c r="M3" s="13">
        <v>5</v>
      </c>
      <c r="N3" s="13">
        <v>5</v>
      </c>
      <c r="O3" s="13">
        <v>5</v>
      </c>
      <c r="P3" s="13">
        <v>5</v>
      </c>
      <c r="Q3" s="13">
        <v>4.4400000000000004</v>
      </c>
      <c r="R3" s="13">
        <v>5</v>
      </c>
      <c r="S3" s="13">
        <v>5</v>
      </c>
      <c r="T3" s="13">
        <v>5</v>
      </c>
      <c r="U3" s="13">
        <v>5</v>
      </c>
      <c r="V3" s="13">
        <v>5</v>
      </c>
      <c r="W3" s="13">
        <v>5</v>
      </c>
      <c r="X3" s="13">
        <v>5</v>
      </c>
      <c r="Y3" s="13">
        <v>5</v>
      </c>
      <c r="Z3" s="13">
        <v>4.6428571428571432</v>
      </c>
      <c r="AA3" s="13">
        <v>5</v>
      </c>
      <c r="AB3" s="14">
        <v>5</v>
      </c>
      <c r="AC3" s="15">
        <f>SUM(B3:AB3)/27</f>
        <v>4.8919576719576714</v>
      </c>
    </row>
    <row r="4" spans="1:29" ht="18.75" x14ac:dyDescent="0.25">
      <c r="A4" s="16" t="s">
        <v>31</v>
      </c>
      <c r="B4" s="17">
        <v>4.88</v>
      </c>
      <c r="C4" s="18">
        <v>4.96</v>
      </c>
      <c r="D4" s="18">
        <v>4.96</v>
      </c>
      <c r="E4" s="18">
        <v>4.5</v>
      </c>
      <c r="F4" s="18">
        <v>4.4800000000000004</v>
      </c>
      <c r="G4" s="18">
        <v>4.68</v>
      </c>
      <c r="H4" s="18">
        <v>4.96</v>
      </c>
      <c r="I4" s="18">
        <v>3.8275862068965516</v>
      </c>
      <c r="J4" s="18">
        <v>4.5294117647058822</v>
      </c>
      <c r="K4" s="18">
        <v>5</v>
      </c>
      <c r="L4" s="18">
        <v>5</v>
      </c>
      <c r="M4" s="18">
        <v>5</v>
      </c>
      <c r="N4" s="18">
        <v>3.925925925925926</v>
      </c>
      <c r="O4" s="18">
        <v>4.387096774193548</v>
      </c>
      <c r="P4" s="18">
        <v>4.5454545454545459</v>
      </c>
      <c r="Q4" s="18">
        <v>4.16</v>
      </c>
      <c r="R4" s="18">
        <v>4.8571428571428568</v>
      </c>
      <c r="S4" s="18">
        <v>3.8125</v>
      </c>
      <c r="T4" s="18">
        <v>4.2</v>
      </c>
      <c r="U4" s="18">
        <v>3.7777777777777777</v>
      </c>
      <c r="V4" s="18">
        <v>4.4400000000000004</v>
      </c>
      <c r="W4" s="18">
        <v>4.0526315789473681</v>
      </c>
      <c r="X4" s="18">
        <v>4.384615384615385</v>
      </c>
      <c r="Y4" s="18">
        <v>4.5</v>
      </c>
      <c r="Z4" s="18">
        <v>3.9285714285714284</v>
      </c>
      <c r="AA4" s="18">
        <v>4.1388888888888893</v>
      </c>
      <c r="AB4" s="19">
        <v>4.2692307692307692</v>
      </c>
      <c r="AC4" s="20">
        <f t="shared" ref="AC4:AC10" si="0">SUM(B4:AB4)/27</f>
        <v>4.4502531074944791</v>
      </c>
    </row>
    <row r="5" spans="1:29" ht="18.75" x14ac:dyDescent="0.25">
      <c r="A5" s="16" t="s">
        <v>32</v>
      </c>
      <c r="B5" s="17">
        <v>4.72</v>
      </c>
      <c r="C5" s="18">
        <v>4.5599999999999996</v>
      </c>
      <c r="D5" s="18">
        <v>4.6399999999999997</v>
      </c>
      <c r="E5" s="18">
        <v>4.5</v>
      </c>
      <c r="F5" s="18">
        <v>4.08</v>
      </c>
      <c r="G5" s="18">
        <v>4.24</v>
      </c>
      <c r="H5" s="18">
        <v>4.4400000000000004</v>
      </c>
      <c r="I5" s="18">
        <v>3.9310344827586206</v>
      </c>
      <c r="J5" s="18">
        <v>4.3529411764705879</v>
      </c>
      <c r="K5" s="18">
        <v>4</v>
      </c>
      <c r="L5" s="18">
        <v>4.931034482758621</v>
      </c>
      <c r="M5" s="18">
        <v>5</v>
      </c>
      <c r="N5" s="18">
        <v>4.5555555555555554</v>
      </c>
      <c r="O5" s="18">
        <v>4.225806451612903</v>
      </c>
      <c r="P5" s="18">
        <v>4.4848484848484844</v>
      </c>
      <c r="Q5" s="18">
        <v>3.76</v>
      </c>
      <c r="R5" s="18">
        <v>4.5714285714285712</v>
      </c>
      <c r="S5" s="18">
        <v>3.6875</v>
      </c>
      <c r="T5" s="18">
        <v>3.72</v>
      </c>
      <c r="U5" s="18">
        <v>3.7407407407407409</v>
      </c>
      <c r="V5" s="18">
        <v>4.04</v>
      </c>
      <c r="W5" s="18">
        <v>4</v>
      </c>
      <c r="X5" s="18">
        <v>4</v>
      </c>
      <c r="Y5" s="18">
        <v>3.9615384615384617</v>
      </c>
      <c r="Z5" s="18">
        <v>3.6428571428571428</v>
      </c>
      <c r="AA5" s="18">
        <v>4</v>
      </c>
      <c r="AB5" s="19">
        <v>4.115384615384615</v>
      </c>
      <c r="AC5" s="20">
        <f t="shared" si="0"/>
        <v>4.2185433394797895</v>
      </c>
    </row>
    <row r="6" spans="1:29" ht="18.75" x14ac:dyDescent="0.25">
      <c r="A6" s="16" t="s">
        <v>33</v>
      </c>
      <c r="B6" s="17">
        <v>5</v>
      </c>
      <c r="C6" s="18">
        <v>4.6399999999999997</v>
      </c>
      <c r="D6" s="18">
        <v>4.68</v>
      </c>
      <c r="E6" s="18">
        <v>5</v>
      </c>
      <c r="F6" s="18">
        <v>4.92</v>
      </c>
      <c r="G6" s="18">
        <v>5</v>
      </c>
      <c r="H6" s="18">
        <v>4.6399999999999997</v>
      </c>
      <c r="I6" s="18">
        <v>4.2413793103448274</v>
      </c>
      <c r="J6" s="18">
        <v>4.7647058823529411</v>
      </c>
      <c r="K6" s="18">
        <v>4.5</v>
      </c>
      <c r="L6" s="18">
        <v>4.931034482758621</v>
      </c>
      <c r="M6" s="18">
        <v>5</v>
      </c>
      <c r="N6" s="18">
        <v>4.8518518518518521</v>
      </c>
      <c r="O6" s="18">
        <v>5</v>
      </c>
      <c r="P6" s="18">
        <v>4.9393939393939394</v>
      </c>
      <c r="Q6" s="18">
        <v>4.5999999999999996</v>
      </c>
      <c r="R6" s="18">
        <v>4.8571428571428568</v>
      </c>
      <c r="S6" s="18">
        <v>4.5</v>
      </c>
      <c r="T6" s="18">
        <v>4.4000000000000004</v>
      </c>
      <c r="U6" s="18">
        <v>4.2962962962962967</v>
      </c>
      <c r="V6" s="18">
        <v>4.6399999999999997</v>
      </c>
      <c r="W6" s="18">
        <v>4.8947368421052628</v>
      </c>
      <c r="X6" s="18">
        <v>4.8461538461538458</v>
      </c>
      <c r="Y6" s="18">
        <v>4.615384615384615</v>
      </c>
      <c r="Z6" s="18">
        <v>4.6428571428571432</v>
      </c>
      <c r="AA6" s="18">
        <v>4.8888888888888893</v>
      </c>
      <c r="AB6" s="19">
        <v>4.884615384615385</v>
      </c>
      <c r="AC6" s="20">
        <f t="shared" si="0"/>
        <v>4.7472015311165352</v>
      </c>
    </row>
    <row r="7" spans="1:29" ht="31.5" x14ac:dyDescent="0.25">
      <c r="A7" s="21" t="s">
        <v>34</v>
      </c>
      <c r="B7" s="17">
        <v>2.08</v>
      </c>
      <c r="C7" s="18">
        <v>2.16</v>
      </c>
      <c r="D7" s="18">
        <v>2.16</v>
      </c>
      <c r="E7" s="18">
        <v>2.375</v>
      </c>
      <c r="F7" s="18">
        <v>2.72</v>
      </c>
      <c r="G7" s="18">
        <v>2.72</v>
      </c>
      <c r="H7" s="18">
        <v>1.84</v>
      </c>
      <c r="I7" s="18">
        <v>2.2758620689655173</v>
      </c>
      <c r="J7" s="18">
        <v>2.3529411764705883</v>
      </c>
      <c r="K7" s="18">
        <v>2</v>
      </c>
      <c r="L7" s="18">
        <v>2</v>
      </c>
      <c r="M7" s="18">
        <v>2</v>
      </c>
      <c r="N7" s="18">
        <v>2</v>
      </c>
      <c r="O7" s="18">
        <v>2.6451612903225805</v>
      </c>
      <c r="P7" s="18">
        <v>2.393939393939394</v>
      </c>
      <c r="Q7" s="18">
        <v>2.92</v>
      </c>
      <c r="R7" s="18">
        <v>2.4285714285714284</v>
      </c>
      <c r="S7" s="18">
        <v>2.375</v>
      </c>
      <c r="T7" s="18">
        <v>2</v>
      </c>
      <c r="U7" s="18">
        <v>2.1111111111111112</v>
      </c>
      <c r="V7" s="18">
        <v>2.08</v>
      </c>
      <c r="W7" s="18">
        <v>3</v>
      </c>
      <c r="X7" s="18">
        <v>2.8461538461538463</v>
      </c>
      <c r="Y7" s="18">
        <v>2.6923076923076925</v>
      </c>
      <c r="Z7" s="18">
        <v>2.4285714285714284</v>
      </c>
      <c r="AA7" s="18">
        <v>3.1944444444444446</v>
      </c>
      <c r="AB7" s="19">
        <v>2.8846153846153846</v>
      </c>
      <c r="AC7" s="20">
        <f t="shared" si="0"/>
        <v>2.3956918246471637</v>
      </c>
    </row>
    <row r="8" spans="1:29" ht="31.5" x14ac:dyDescent="0.25">
      <c r="A8" s="21" t="s">
        <v>35</v>
      </c>
      <c r="B8" s="17">
        <v>5</v>
      </c>
      <c r="C8" s="18">
        <v>5</v>
      </c>
      <c r="D8" s="18">
        <v>5</v>
      </c>
      <c r="E8" s="18">
        <v>4</v>
      </c>
      <c r="F8" s="18">
        <v>5</v>
      </c>
      <c r="G8" s="18">
        <v>5</v>
      </c>
      <c r="H8" s="18">
        <v>5</v>
      </c>
      <c r="I8" s="18">
        <v>5</v>
      </c>
      <c r="J8" s="18">
        <v>4</v>
      </c>
      <c r="K8" s="18">
        <v>2</v>
      </c>
      <c r="L8" s="18">
        <v>5</v>
      </c>
      <c r="M8" s="18">
        <v>5</v>
      </c>
      <c r="N8" s="18">
        <v>5</v>
      </c>
      <c r="O8" s="18">
        <v>5</v>
      </c>
      <c r="P8" s="18">
        <v>5</v>
      </c>
      <c r="Q8" s="18">
        <v>5</v>
      </c>
      <c r="R8" s="18">
        <v>3</v>
      </c>
      <c r="S8" s="18">
        <v>4</v>
      </c>
      <c r="T8" s="18">
        <v>5</v>
      </c>
      <c r="U8" s="18">
        <v>5</v>
      </c>
      <c r="V8" s="18">
        <v>5</v>
      </c>
      <c r="W8" s="18">
        <v>4</v>
      </c>
      <c r="X8" s="18">
        <v>4</v>
      </c>
      <c r="Y8" s="18">
        <v>5</v>
      </c>
      <c r="Z8" s="18">
        <v>4</v>
      </c>
      <c r="AA8" s="18">
        <v>5</v>
      </c>
      <c r="AB8" s="19">
        <v>5</v>
      </c>
      <c r="AC8" s="20">
        <f t="shared" si="0"/>
        <v>4.5925925925925926</v>
      </c>
    </row>
    <row r="9" spans="1:29" ht="19.5" thickBot="1" x14ac:dyDescent="0.3">
      <c r="A9" s="22" t="s">
        <v>36</v>
      </c>
      <c r="B9" s="23">
        <v>5</v>
      </c>
      <c r="C9" s="24">
        <v>5</v>
      </c>
      <c r="D9" s="24">
        <v>5</v>
      </c>
      <c r="E9" s="24">
        <v>4</v>
      </c>
      <c r="F9" s="24">
        <v>5</v>
      </c>
      <c r="G9" s="24">
        <v>5</v>
      </c>
      <c r="H9" s="24">
        <v>5</v>
      </c>
      <c r="I9" s="24">
        <v>5</v>
      </c>
      <c r="J9" s="24">
        <v>4</v>
      </c>
      <c r="K9" s="24">
        <v>2</v>
      </c>
      <c r="L9" s="24">
        <v>5</v>
      </c>
      <c r="M9" s="24">
        <v>5</v>
      </c>
      <c r="N9" s="24">
        <v>5</v>
      </c>
      <c r="O9" s="24">
        <v>5</v>
      </c>
      <c r="P9" s="24">
        <v>5</v>
      </c>
      <c r="Q9" s="24">
        <v>5</v>
      </c>
      <c r="R9" s="24">
        <v>2</v>
      </c>
      <c r="S9" s="24">
        <v>4</v>
      </c>
      <c r="T9" s="24">
        <v>5</v>
      </c>
      <c r="U9" s="24">
        <v>5</v>
      </c>
      <c r="V9" s="24">
        <v>5</v>
      </c>
      <c r="W9" s="24">
        <v>4</v>
      </c>
      <c r="X9" s="24">
        <v>3</v>
      </c>
      <c r="Y9" s="24">
        <v>5</v>
      </c>
      <c r="Z9" s="24">
        <v>4</v>
      </c>
      <c r="AA9" s="24">
        <v>5</v>
      </c>
      <c r="AB9" s="25">
        <v>5</v>
      </c>
      <c r="AC9" s="26">
        <f t="shared" si="0"/>
        <v>4.5185185185185182</v>
      </c>
    </row>
    <row r="10" spans="1:29" ht="19.5" thickBot="1" x14ac:dyDescent="0.3">
      <c r="A10" s="27" t="s">
        <v>1</v>
      </c>
      <c r="B10" s="28">
        <f>SUM(B3:B9)/7</f>
        <v>4.5257142857142858</v>
      </c>
      <c r="C10" s="29">
        <f t="shared" ref="C10:AB10" si="1">SUM(C3:C9)/7</f>
        <v>4.4742857142857142</v>
      </c>
      <c r="D10" s="29">
        <f t="shared" si="1"/>
        <v>4.491428571428572</v>
      </c>
      <c r="E10" s="29">
        <f t="shared" si="1"/>
        <v>4.1964285714285712</v>
      </c>
      <c r="F10" s="29">
        <f t="shared" si="1"/>
        <v>4.4571428571428573</v>
      </c>
      <c r="G10" s="29">
        <f t="shared" si="1"/>
        <v>4.5200000000000005</v>
      </c>
      <c r="H10" s="29">
        <f t="shared" si="1"/>
        <v>4.4114285714285719</v>
      </c>
      <c r="I10" s="29">
        <f t="shared" si="1"/>
        <v>4.1822660098522162</v>
      </c>
      <c r="J10" s="29">
        <f t="shared" si="1"/>
        <v>3.8571428571428572</v>
      </c>
      <c r="K10" s="29">
        <f t="shared" si="1"/>
        <v>3.5</v>
      </c>
      <c r="L10" s="29">
        <f t="shared" si="1"/>
        <v>4.5517241379310347</v>
      </c>
      <c r="M10" s="29">
        <f t="shared" si="1"/>
        <v>4.5714285714285712</v>
      </c>
      <c r="N10" s="29">
        <f t="shared" si="1"/>
        <v>4.333333333333333</v>
      </c>
      <c r="O10" s="29">
        <f t="shared" si="1"/>
        <v>4.4654377880184333</v>
      </c>
      <c r="P10" s="29">
        <f t="shared" si="1"/>
        <v>4.4805194805194803</v>
      </c>
      <c r="Q10" s="29">
        <f t="shared" si="1"/>
        <v>4.2685714285714287</v>
      </c>
      <c r="R10" s="29">
        <f t="shared" si="1"/>
        <v>3.8163265306122445</v>
      </c>
      <c r="S10" s="29">
        <f t="shared" si="1"/>
        <v>3.9107142857142856</v>
      </c>
      <c r="T10" s="29">
        <f t="shared" si="1"/>
        <v>4.1885714285714286</v>
      </c>
      <c r="U10" s="29">
        <f t="shared" si="1"/>
        <v>4.1322751322751321</v>
      </c>
      <c r="V10" s="29">
        <f t="shared" si="1"/>
        <v>4.3142857142857149</v>
      </c>
      <c r="W10" s="29">
        <f t="shared" si="1"/>
        <v>4.1353383458646613</v>
      </c>
      <c r="X10" s="29">
        <f t="shared" si="1"/>
        <v>4.0109890109890109</v>
      </c>
      <c r="Y10" s="29">
        <f t="shared" si="1"/>
        <v>4.395604395604396</v>
      </c>
      <c r="Z10" s="29">
        <f t="shared" si="1"/>
        <v>3.8979591836734691</v>
      </c>
      <c r="AA10" s="29">
        <f t="shared" si="1"/>
        <v>4.4603174603174605</v>
      </c>
      <c r="AB10" s="29">
        <f t="shared" si="1"/>
        <v>4.4505494505494507</v>
      </c>
      <c r="AC10" s="30">
        <f t="shared" si="0"/>
        <v>4.2592512265438209</v>
      </c>
    </row>
  </sheetData>
  <mergeCells count="1">
    <mergeCell ref="AC1:AC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4C278A-305F-434D-A98B-4731E47EA250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ADQI 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Hazib</dc:creator>
  <cp:lastModifiedBy>Muhammad Hazib</cp:lastModifiedBy>
  <dcterms:created xsi:type="dcterms:W3CDTF">2025-05-21T08:10:06Z</dcterms:created>
  <dcterms:modified xsi:type="dcterms:W3CDTF">2025-05-21T08:10:31Z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{0A4C278A-305F-434D-A98B-4731E47EA250}</vt:lpwstr>
  </property>
</Properties>
</file>